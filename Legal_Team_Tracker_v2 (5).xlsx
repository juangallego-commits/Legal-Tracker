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ing Activo" sheetId="1" r:id="rId5"/>
    <sheet state="visible" name="Slack Log" sheetId="2" r:id="rId6"/>
    <sheet state="visible" name="Historial" sheetId="3" r:id="rId7"/>
    <sheet state="visible" name="Proyectos" sheetId="4" r:id="rId8"/>
    <sheet state="visible" name="Config" sheetId="5" r:id="rId9"/>
    <sheet state="visible" name="Resumen" sheetId="6" r:id="rId10"/>
    <sheet state="visible" name="Equipos" sheetId="7" r:id="rId11"/>
  </sheets>
  <definedNames>
    <definedName hidden="1" localSheetId="0" name="_xlnm._FilterDatabase">'Tracking Activo'!$A$3:$K$23</definedName>
    <definedName hidden="1" localSheetId="2" name="_xlnm._FilterDatabase">Historial!$A$3:$K$6</definedName>
  </definedNames>
  <calcPr/>
</workbook>
</file>

<file path=xl/sharedStrings.xml><?xml version="1.0" encoding="utf-8"?>
<sst xmlns="http://schemas.openxmlformats.org/spreadsheetml/2006/main" count="662" uniqueCount="248">
  <si>
    <t>⚖  LEGAL TEAM TRACKER  ·  RappiPlus Colombia</t>
  </si>
  <si>
    <t>Última actualización: 17/03/2026  |  Equipo Legal RappiPlus  |  Piloto Colombia</t>
  </si>
  <si>
    <t>#</t>
  </si>
  <si>
    <t>Nombre de la Tarea</t>
  </si>
  <si>
    <t>Responsable</t>
  </si>
  <si>
    <t>Accionable</t>
  </si>
  <si>
    <t>Deadline</t>
  </si>
  <si>
    <t>Priority</t>
  </si>
  <si>
    <t>Status</t>
  </si>
  <si>
    <t>Semana</t>
  </si>
  <si>
    <t>Fecha Creación</t>
  </si>
  <si>
    <t>Fecha Cierre</t>
  </si>
  <si>
    <t>Notas</t>
  </si>
  <si>
    <t>Proyecto</t>
  </si>
  <si>
    <t>País</t>
  </si>
  <si>
    <t>Lider</t>
  </si>
  <si>
    <t>Tipo Trabajo</t>
  </si>
  <si>
    <t>Riesgo</t>
  </si>
  <si>
    <t>Documentos</t>
  </si>
  <si>
    <t>Mejorar el Legal Tracker</t>
  </si>
  <si>
    <t>Juan Camilo Gallego</t>
  </si>
  <si>
    <t>Implementar automatizaciones con slack</t>
  </si>
  <si>
    <t>Media</t>
  </si>
  <si>
    <t>Pendiente</t>
  </si>
  <si>
    <t>23-27 mar 2026</t>
  </si>
  <si>
    <t>CO</t>
  </si>
  <si>
    <t>Carlos Eduardo Fernández</t>
  </si>
  <si>
    <t>Configurar Legal Tracker Bot</t>
  </si>
  <si>
    <t>Confirmar que las funcionalidades del bot esten ejecutandose bien</t>
  </si>
  <si>
    <t>Vía Slack · juan.gallego · 25/3/2026</t>
  </si>
  <si>
    <t>Ajustar slack</t>
  </si>
  <si>
    <t>trabajarle duro</t>
  </si>
  <si>
    <t>mañana</t>
  </si>
  <si>
    <t>added an integration to this channel: &lt;https://rappiplus.sl…</t>
  </si>
  <si>
    <t>Por definir</t>
  </si>
  <si>
    <t>*Reglamentos instalaciones eléctricas y de gas - Tiendas Tu…</t>
  </si>
  <si>
    <t>confirmar que esto salga bien</t>
  </si>
  <si>
    <t>Probar funcionalidad en Reacción mensaje</t>
  </si>
  <si>
    <t>Carlos Fernandez</t>
  </si>
  <si>
    <t>Enviar imágenes</t>
  </si>
  <si>
    <t>Ver grupos adicionales</t>
  </si>
  <si>
    <t>Vía Slack · eduardo.fernandez · 25/3/2026</t>
  </si>
  <si>
    <t>*Prueba*</t>
  </si>
  <si>
    <t>Prueba</t>
  </si>
  <si>
    <t>Juicios CO</t>
  </si>
  <si>
    <t>Ana Bravo Canal</t>
  </si>
  <si>
    <t>HQ</t>
  </si>
  <si>
    <t>Asuntos CO</t>
  </si>
  <si>
    <t>Tarea Prueba</t>
  </si>
  <si>
    <t>30-3 abr 2026</t>
  </si>
  <si>
    <t>Tarea Vapeadores</t>
  </si>
  <si>
    <t>Definir los accionables con producto</t>
  </si>
  <si>
    <t>Alta</t>
  </si>
  <si>
    <t>Vía Slack · juan.gallego · 31/3/2026</t>
  </si>
  <si>
    <t>*Flapp CO*</t>
  </si>
  <si>
    <t>Juan Manuel Caicedo</t>
  </si>
  <si>
    <t>Revisar contrato y firma cargo</t>
  </si>
  <si>
    <t>13-17 abr 2026</t>
  </si>
  <si>
    <t>Vía Slack · juan.caicedo · 16/4/2026</t>
  </si>
  <si>
    <t>*T&amp;amp;C Durex x Baum Festival*</t>
  </si>
  <si>
    <t>Métale papá</t>
  </si>
  <si>
    <t>Hoy</t>
  </si>
  <si>
    <t>Vía Slack · david.gaviria · 16/4/2026</t>
  </si>
  <si>
    <t>*DP - &lt;mailto:katyjuli40492@hotmail.com|katyjuli40492@hotma…</t>
  </si>
  <si>
    <t>Revisar el escrito</t>
  </si>
  <si>
    <t>Vía Slack · juan.gallego · 16/4/2026</t>
  </si>
  <si>
    <t>Timestamp</t>
  </si>
  <si>
    <t>Action</t>
  </si>
  <si>
    <t>Task Name</t>
  </si>
  <si>
    <t>User</t>
  </si>
  <si>
    <t>Channel</t>
  </si>
  <si>
    <t>Raw JSON</t>
  </si>
  <si>
    <t>create</t>
  </si>
  <si>
    <t>TEST — Tarea de prueba desde Slack</t>
  </si>
  <si>
    <t>carlos.fernandez</t>
  </si>
  <si>
    <t>legal-team</t>
  </si>
  <si>
    <t>{"action":"create","task_name":"TEST — Tarea de prueba desde Slack","responsable":"Carlos Fernández","accionable":"Verificar que la integración funciona","deadline":"Hoy","priority":"Alta","slack_user":"carlos.fernandez","slack_channel":"legal-team","notas":"Esta es una prueba, puedes borrarla"}</t>
  </si>
  <si>
    <t>juan.gallego</t>
  </si>
  <si>
    <t>OK #3</t>
  </si>
  <si>
    <t>OK #4</t>
  </si>
  <si>
    <t>ERROR: Slack API / chat.postMessage</t>
  </si>
  <si>
    <t>cannot_reply_to_message</t>
  </si>
  <si>
    <t>{"channel":"C05SMEN3DSM","thread_ts":"1774455989.525569","text":"✅ *Tarea #5 registrada en Legal Tracker*\n📝 Ajustar slack\n👤 Juan Camilo Gallego · 🟡 Media · 📅 mañana\n▶️ trabajarle duro","mrkdwn"</t>
  </si>
  <si>
    <t>OK #5</t>
  </si>
  <si>
    <t>{"channel":"C05SMEN3DSM","thread_ts":"1774455989.525569","text":"✅ *Tarea #6 registrada en Legal Tracker*\n📝 Ajustar slack\n👤 Juan Camilo Gallego · 🟡 Media · 📅 mañana\n▶️ trabajarle duro","mrkdwn"</t>
  </si>
  <si>
    <t>OK #6</t>
  </si>
  <si>
    <t xml:space="preserve">{"channel":"C05SMEN3DSM","thread_ts":"1774455989.525569","text":"✅ *Tarea #7 registrada en Legal Tracker*\n📝 added an integration to this channel: &lt;https://rappiplus.sl…\n👤 Juan Camilo Gallego · 🟡 </t>
  </si>
  <si>
    <t>OK #7</t>
  </si>
  <si>
    <t xml:space="preserve">{"channel":"C05SMEN3DSM","thread_ts":"1774455989.525569","text":"✅ *Tarea #8 registrada en Legal Tracker*\n📝 added an integration to this channel: &lt;https://rappiplus.sl…\n👤 Juan Camilo Gallego · 🟡 </t>
  </si>
  <si>
    <t>OK #8</t>
  </si>
  <si>
    <t>ERROR: Slack API / chat.postEphemeral</t>
  </si>
  <si>
    <t>invalid_blocks</t>
  </si>
  <si>
    <t>{"channel":"C05SMEN3DSM","user":"U07JQL129CK","text":"¿Crear tarea en Legal Tracker?","blocks":[{"type":"section","text":{"type":"mrkdwn","text":"*⚖️ Crear tarea legal*\n&gt; :wave: _Equipo Legal RappiPl</t>
  </si>
  <si>
    <t>OK #9</t>
  </si>
  <si>
    <t>eduardo.fernandez</t>
  </si>
  <si>
    <t>OK #10</t>
  </si>
  <si>
    <t>OK #11</t>
  </si>
  <si>
    <t>OK #12</t>
  </si>
  <si>
    <t>OK #13</t>
  </si>
  <si>
    <t>OK #17</t>
  </si>
  <si>
    <t>close</t>
  </si>
  <si>
    <t>DP - *&lt;mailto:laterelegal@gmail.com|laterelegal@gmail.com&gt;*</t>
  </si>
  <si>
    <t>U05GJKUMEA0</t>
  </si>
  <si>
    <t>NOT_FOUND</t>
  </si>
  <si>
    <t>*DP - &lt;mailto:carcas.cx16@gmail.com|carcas.cx16@gmail.com&gt;*</t>
  </si>
  <si>
    <t>U05BA2KCBD0</t>
  </si>
  <si>
    <t>*Correos Dps*</t>
  </si>
  <si>
    <t>*DP - &lt;mailto:santyvente83@gmail.com|santyvente83@gmail.com&gt;*</t>
  </si>
  <si>
    <t>50% CB Pance-Cali 22/04*</t>
  </si>
  <si>
    <t>OK #18</t>
  </si>
  <si>
    <t>ERROR: Slack API / views.open</t>
  </si>
  <si>
    <t>expired_trigger_id</t>
  </si>
  <si>
    <t>{"trigger_id":"10918411221239.92908122144.a095dba70d5ee4bb92fa8d60d8846422","view":{"type":"modal","callback_id":"create_task_modal","private_metadata":"{\"channel\":\"C03QFMJ5Z4Z\",\"ts\":\"177626888</t>
  </si>
  <si>
    <t>{"trigger_id":"10937457624756.92908122144.6c3e89a548b6c9230ad806bcb6b4cefa","view":{"type":"modal","callback_id":"create_task_modal","private_metadata":"{\"channel\":\"C03QFMJ5Z4Z\",\"ts\":\"177626888</t>
  </si>
  <si>
    <t>{"trigger_id":"10931802750582.92908122144.c4f0002b2de8d466c67f063c469871fb","view":{"type":"modal","callback_id":"create_task_modal","private_metadata":"{\"channel\":\"C03QFMJ5Z4Z\",\"ts\":\"177626888</t>
  </si>
  <si>
    <t>{"trigger_id":"10937458322468.92908122144.2f6d9531925f33ff1a75133da76f011f","view":{"type":"modal","callback_id":"create_task_modal","private_metadata":"{\"channel\":\"C03QFMJ5Z4Z\",\"ts\":\"177626888</t>
  </si>
  <si>
    <t>juan.caicedo</t>
  </si>
  <si>
    <t>OK #19</t>
  </si>
  <si>
    <t>OK #20</t>
  </si>
  <si>
    <t>david.gaviria</t>
  </si>
  <si>
    <t>OK #21</t>
  </si>
  <si>
    <t>*7005 - CPGs - Colombia - Cambios contractuales - Cambio de Cuenta Bancaria + Razon Social - VYPE VUSE LICORES AK -*</t>
  </si>
  <si>
    <t>UKZ3W0LMV</t>
  </si>
  <si>
    <t>OK #22</t>
  </si>
  <si>
    <t>*T&amp;amp;Cs Lifemiles*</t>
  </si>
  <si>
    <t>U07JQL129CK</t>
  </si>
  <si>
    <t>*Súper CB Domingo 19/04*</t>
  </si>
  <si>
    <t>*15 min o 100% cb- Turbo rest*</t>
  </si>
  <si>
    <t>*CB 50% Zipaquirá 20/04*</t>
  </si>
  <si>
    <t>OK</t>
  </si>
  <si>
    <t>ERROR: Slack API / conversations.history</t>
  </si>
  <si>
    <t>SLACK_BOT_TOKEN no configurado en Script Properties (Apps Script → ⚙ Project Settings → Script Properties).</t>
  </si>
  <si>
    <t>📁  HISTORIAL  ·  Tareas Completadas</t>
  </si>
  <si>
    <t>Tareas movidas desde 'Tracking Activo' al ser marcadas como ✅ Listo</t>
  </si>
  <si>
    <t>Crear el Legal Tracker</t>
  </si>
  <si>
    <t>Crear el legal tracker</t>
  </si>
  <si>
    <t>Listo</t>
  </si>
  <si>
    <t>16-20 mar 2026</t>
  </si>
  <si>
    <t>no hay</t>
  </si>
  <si>
    <t>Vía Slack · juan.gallego · 15/4/2026</t>
  </si>
  <si>
    <t>Tarea de ejemplo</t>
  </si>
  <si>
    <t>Seguir trabajando en la integracion con slack</t>
  </si>
  <si>
    <t>ID</t>
  </si>
  <si>
    <t>Nombre</t>
  </si>
  <si>
    <t>Líder</t>
  </si>
  <si>
    <t>Prioridad</t>
  </si>
  <si>
    <t>Estado</t>
  </si>
  <si>
    <t>Descripción</t>
  </si>
  <si>
    <t>Creado</t>
  </si>
  <si>
    <t>Participantes</t>
  </si>
  <si>
    <t>documentos</t>
  </si>
  <si>
    <t>Legal Tracker</t>
  </si>
  <si>
    <t>Activo</t>
  </si>
  <si>
    <t>Creacion del tracker interno para todos los equipos de Legal de Rappi, facilitando la visualizacion de la carga de trabajo, como el cargue de las tareas.</t>
  </si>
  <si>
    <t>Mapping litigio global</t>
  </si>
  <si>
    <t>Enrique Gonzales</t>
  </si>
  <si>
    <t>Identificar riesgos a nivel global sobre litigios</t>
  </si>
  <si>
    <t>https://docs.google.com/document/d/1ulom6utvTQ2mk29QGDT5QMfC46Sp_-kSaC1-9bskJ5M/edit?usp=sharing</t>
  </si>
  <si>
    <t>Carlos Eduardo Fernández, Juan Camilo Gallego</t>
  </si>
  <si>
    <t>⚙  CONFIGURACIÓN DEL TRACKER</t>
  </si>
  <si>
    <t>Equipo</t>
  </si>
  <si>
    <t>Legal RappiPlus CO</t>
  </si>
  <si>
    <t>Miembros</t>
  </si>
  <si>
    <t>Isabela Zuluaga, Nicolás Naranjo, Juan Manuel Caicedo, Valeria Rangel, Juan Camilo Gallego, David Gaviria, Carlos Fernandez</t>
  </si>
  <si>
    <t>SLA Alta (días)</t>
  </si>
  <si>
    <t>SLA Media (días)</t>
  </si>
  <si>
    <t>SLA Baja (días)</t>
  </si>
  <si>
    <t>Slack Channel ID</t>
  </si>
  <si>
    <t>C042YU3HD9N</t>
  </si>
  <si>
    <t>Slack Team Channel</t>
  </si>
  <si>
    <t>C05SMEN3DSM</t>
  </si>
  <si>
    <t>Calendar Color (opt-in)</t>
  </si>
  <si>
    <t>Amarillo</t>
  </si>
  <si>
    <t>Depuración</t>
  </si>
  <si>
    <t>Lunes PM, Miércoles AM, Viernes AM</t>
  </si>
  <si>
    <t>Alerta automática</t>
  </si>
  <si>
    <t>Miércoles PM</t>
  </si>
  <si>
    <t>Versión</t>
  </si>
  <si>
    <t>2.0</t>
  </si>
  <si>
    <t>Fecha inicio piloto</t>
  </si>
  <si>
    <t>Marzo 2026</t>
  </si>
  <si>
    <t>Heads</t>
  </si>
  <si>
    <t>juan.gallego@rappi.com</t>
  </si>
  <si>
    <t>DriveFolder</t>
  </si>
  <si>
    <t>https://drive.google.com/drive/folders/1a-HrLdMN2RVX56_d-igN7HHuE5B_zrJT</t>
  </si>
  <si>
    <t>📊  KPIs AUTOMÁTICOS</t>
  </si>
  <si>
    <t>Total tareas activas</t>
  </si>
  <si>
    <t>Alta prioridad</t>
  </si>
  <si>
    <t>Media prioridad</t>
  </si>
  <si>
    <t>Baja prioridad</t>
  </si>
  <si>
    <t>Pendientes</t>
  </si>
  <si>
    <t>En curso</t>
  </si>
  <si>
    <t>Bloqueadas</t>
  </si>
  <si>
    <t>Listas (semana)</t>
  </si>
  <si>
    <t>Historial total</t>
  </si>
  <si>
    <t>— Por Responsable —</t>
  </si>
  <si>
    <t>Isabela Zuluaga</t>
  </si>
  <si>
    <t>Nicolás Naranjo</t>
  </si>
  <si>
    <t>Valeria Rangel</t>
  </si>
  <si>
    <t>David Gaviria</t>
  </si>
  <si>
    <t>Código</t>
  </si>
  <si>
    <t>Correo Líder</t>
  </si>
  <si>
    <t>Correos Miembros</t>
  </si>
  <si>
    <t>Canal Slack</t>
  </si>
  <si>
    <t>Colombia</t>
  </si>
  <si>
    <t>eduardo.fernandez@rappi.com</t>
  </si>
  <si>
    <t>Isabela Zuluaga, Nicolás Naranjo, Juan Manuel Caicedo, Juan Camilo Gallego, Valeria Rangel, David Gaviria</t>
  </si>
  <si>
    <t xml:space="preserve">isabela.zuluaga@rappi.com, nicolas.naranjo@rappi.com, juan.caicedo@rappi.com, juan.gallego@rappi.com, valeria.rangel@rappi.com, david.gaviria@rappi.com </t>
  </si>
  <si>
    <t>#legalteam</t>
  </si>
  <si>
    <t>CR</t>
  </si>
  <si>
    <t>Costa Rica</t>
  </si>
  <si>
    <t>BR</t>
  </si>
  <si>
    <t>Brasil</t>
  </si>
  <si>
    <t xml:space="preserve">Michele Volpe
</t>
  </si>
  <si>
    <t>michele.volpe@rappi.com</t>
  </si>
  <si>
    <t>Carla Silva, Ammanda Moreira, Julia Rezende, Victor Alexandre, Taline Costa</t>
  </si>
  <si>
    <t xml:space="preserve">carla.silva@rappi.com, amannda.moreira@rappi.com, julia.rezende@rappi.com, victor.alexandre@rappi.com, taline.costa@rappi.com </t>
  </si>
  <si>
    <t>AR</t>
  </si>
  <si>
    <t>Argentina</t>
  </si>
  <si>
    <t xml:space="preserve">Milena Casella
</t>
  </si>
  <si>
    <t>milena.casella@rappi.com</t>
  </si>
  <si>
    <t>UY</t>
  </si>
  <si>
    <t>Uruguay</t>
  </si>
  <si>
    <t>PR</t>
  </si>
  <si>
    <t>Perú</t>
  </si>
  <si>
    <t>Alvaro Castro</t>
  </si>
  <si>
    <t>alvaro.castro@rappi.com</t>
  </si>
  <si>
    <t>Nicolas Del Solar</t>
  </si>
  <si>
    <t>nicolas.delsolar@rappi.com</t>
  </si>
  <si>
    <t>EC</t>
  </si>
  <si>
    <t>Ecuador</t>
  </si>
  <si>
    <t>Claudia Apolo</t>
  </si>
  <si>
    <t>claudia.apolo@rappi.com</t>
  </si>
  <si>
    <t>MX</t>
  </si>
  <si>
    <t>Mexico</t>
  </si>
  <si>
    <t>Paulina Martinez</t>
  </si>
  <si>
    <t>paulina.martinez@rappi.com</t>
  </si>
  <si>
    <t>Grecias Casas, Danae Vallin, Ximena Hernandez, Samanta Anzaldo, Fernanda Landgrave</t>
  </si>
  <si>
    <t>grecia.casas@rappi.com, danae.vallin@rappi.com, ximena.hernandez@rappi.com, samanta.anzaldo@rappi.com, fernanda.landgrave@rappi.com</t>
  </si>
  <si>
    <t>CL</t>
  </si>
  <si>
    <t>Chile</t>
  </si>
  <si>
    <t>Paula Salazar</t>
  </si>
  <si>
    <t>paula.salazar@rappi.com</t>
  </si>
  <si>
    <t>Global</t>
  </si>
  <si>
    <t>Enrique Gonzalez</t>
  </si>
  <si>
    <t>enrique.gonzalez@rappi.com</t>
  </si>
  <si>
    <t>Ana Bravo Canal, Etienne Luquet</t>
  </si>
  <si>
    <t>ana.bravo@rappi.com, etienne.luquet@rappi.com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</si>
</sst>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"/>
    <numFmt numFmtId="165" formatCode="dd/mm/yyyy"/>
    <numFmt numFmtId="166" formatCode="d&quot; de &quot;mmmm"/>
    <numFmt numFmtId="167" formatCode="mmmm d"/>
    <numFmt numFmtId="168" formatCode="yyyy-mm-dd"/>
    <numFmt numFmtId="169" formatCode="d&quot; de &quot;mmmm&quot; de &quot;yyyy"/>
    <numFmt numFmtId="170" formatCode="dd mm yyyy"/>
  </numFmts>
  <fonts count="22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0.0"/>
      <color rgb="FF8892B0"/>
      <name val="Arial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rgb="FF1E293B"/>
      <name val="Arial"/>
    </font>
    <font>
      <b/>
      <sz val="10.0"/>
      <color rgb="FFDC2626"/>
      <name val="Arial"/>
    </font>
    <font>
      <sz val="10.0"/>
      <color rgb="FF64748B"/>
      <name val="Arial"/>
    </font>
    <font>
      <b/>
      <sz val="10.0"/>
      <color rgb="FFD97706"/>
      <name val="Arial"/>
    </font>
    <font>
      <b/>
      <color theme="1"/>
      <name val="Calibri"/>
      <scheme val="minor"/>
    </font>
    <font>
      <color rgb="FFFFFFFF"/>
      <name val="Calibri"/>
      <scheme val="minor"/>
    </font>
    <font>
      <b/>
      <sz val="10.0"/>
      <color rgb="FFFFFFFF"/>
      <name val="Calibri"/>
      <scheme val="minor"/>
    </font>
    <font>
      <u/>
      <color rgb="FF0000FF"/>
    </font>
    <font>
      <b/>
      <sz val="14.0"/>
      <color rgb="FFFFFFFF"/>
      <name val="Arial"/>
    </font>
    <font>
      <b/>
      <sz val="10.0"/>
      <color rgb="FF1E293B"/>
      <name val="Arial"/>
    </font>
    <font>
      <u/>
      <color rgb="FF0000FF"/>
    </font>
    <font>
      <b/>
      <sz val="14.0"/>
      <color rgb="FFFF6B35"/>
      <name val="Arial"/>
    </font>
    <font>
      <b/>
      <sz val="14.0"/>
      <color rgb="FF1E293B"/>
      <name val="Arial"/>
    </font>
    <font>
      <sz val="11.0"/>
      <color theme="1"/>
      <name val="Arial"/>
    </font>
    <font>
      <sz val="11.0"/>
      <color theme="1"/>
      <name val="Calibri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  <fill>
      <patternFill patternType="solid">
        <fgColor rgb="FFFEF9C3"/>
        <bgColor rgb="FFFEF9C3"/>
      </patternFill>
    </fill>
    <fill>
      <patternFill patternType="solid">
        <fgColor rgb="FF065F46"/>
        <bgColor rgb="FF065F46"/>
      </patternFill>
    </fill>
    <fill>
      <patternFill patternType="solid">
        <fgColor rgb="FF5B21B6"/>
        <bgColor rgb="FF5B21B6"/>
      </patternFill>
    </fill>
    <fill>
      <patternFill patternType="solid">
        <fgColor rgb="FF0891B2"/>
        <bgColor rgb="FF0891B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7" fillId="4" fontId="6" numFmtId="0" xfId="0" applyAlignment="1" applyBorder="1" applyFill="1" applyFont="1">
      <alignment horizontal="center" readingOrder="0" shrinkToFit="0" vertical="center" wrapText="0"/>
    </xf>
    <xf borderId="7" fillId="4" fontId="6" numFmtId="0" xfId="0" applyAlignment="1" applyBorder="1" applyFont="1">
      <alignment readingOrder="0" shrinkToFit="0" vertical="center" wrapText="1"/>
    </xf>
    <xf borderId="7" fillId="5" fontId="7" numFmtId="0" xfId="0" applyAlignment="1" applyBorder="1" applyFill="1" applyFont="1">
      <alignment horizontal="center" readingOrder="0" shrinkToFit="0" vertical="center" wrapText="0"/>
    </xf>
    <xf borderId="7" fillId="3" fontId="8" numFmtId="0" xfId="0" applyAlignment="1" applyBorder="1" applyFont="1">
      <alignment horizontal="center" readingOrder="0" shrinkToFit="0" vertical="center" wrapText="0"/>
    </xf>
    <xf borderId="7" fillId="4" fontId="6" numFmtId="164" xfId="0" applyAlignment="1" applyBorder="1" applyFont="1" applyNumberFormat="1">
      <alignment readingOrder="0" shrinkToFit="0" vertical="center" wrapText="1"/>
    </xf>
    <xf borderId="7" fillId="4" fontId="6" numFmtId="165" xfId="0" applyAlignment="1" applyBorder="1" applyFont="1" applyNumberFormat="1">
      <alignment shrinkToFit="0" vertical="center" wrapText="1"/>
    </xf>
    <xf borderId="7" fillId="4" fontId="6" numFmtId="166" xfId="0" applyAlignment="1" applyBorder="1" applyFont="1" applyNumberFormat="1">
      <alignment readingOrder="0" shrinkToFit="0" vertical="center" wrapText="1"/>
    </xf>
    <xf borderId="7" fillId="6" fontId="6" numFmtId="0" xfId="0" applyAlignment="1" applyBorder="1" applyFill="1" applyFont="1">
      <alignment horizontal="center" readingOrder="0" shrinkToFit="0" vertical="center" wrapText="0"/>
    </xf>
    <xf borderId="7" fillId="6" fontId="6" numFmtId="0" xfId="0" applyAlignment="1" applyBorder="1" applyFont="1">
      <alignment readingOrder="0" shrinkToFit="0" vertical="center" wrapText="1"/>
    </xf>
    <xf borderId="7" fillId="6" fontId="6" numFmtId="166" xfId="0" applyAlignment="1" applyBorder="1" applyFont="1" applyNumberFormat="1">
      <alignment readingOrder="0" shrinkToFit="0" vertical="center" wrapText="1"/>
    </xf>
    <xf borderId="7" fillId="6" fontId="6" numFmtId="164" xfId="0" applyAlignment="1" applyBorder="1" applyFont="1" applyNumberFormat="1">
      <alignment readingOrder="0" shrinkToFit="0" vertical="center" wrapText="1"/>
    </xf>
    <xf borderId="7" fillId="6" fontId="6" numFmtId="165" xfId="0" applyAlignment="1" applyBorder="1" applyFont="1" applyNumberFormat="1">
      <alignment shrinkToFit="0" vertical="center" wrapText="1"/>
    </xf>
    <xf borderId="7" fillId="7" fontId="9" numFmtId="0" xfId="0" applyAlignment="1" applyBorder="1" applyFill="1" applyFont="1">
      <alignment horizontal="center" readingOrder="0" shrinkToFit="0" vertical="center" wrapText="0"/>
    </xf>
    <xf borderId="7" fillId="4" fontId="6" numFmtId="0" xfId="0" applyAlignment="1" applyBorder="1" applyFont="1">
      <alignment shrinkToFit="0" vertical="center" wrapText="1"/>
    </xf>
    <xf borderId="7" fillId="6" fontId="6" numFmtId="0" xfId="0" applyAlignment="1" applyBorder="1" applyFont="1">
      <alignment shrinkToFit="0" vertical="center" wrapText="1"/>
    </xf>
    <xf borderId="7" fillId="4" fontId="6" numFmtId="167" xfId="0" applyAlignment="1" applyBorder="1" applyFont="1" applyNumberFormat="1">
      <alignment readingOrder="0" shrinkToFit="0" vertical="center" wrapText="1"/>
    </xf>
    <xf borderId="7" fillId="4" fontId="6" numFmtId="168" xfId="0" applyAlignment="1" applyBorder="1" applyFont="1" applyNumberFormat="1">
      <alignment readingOrder="0" shrinkToFit="0" vertical="center" wrapText="1"/>
    </xf>
    <xf borderId="7" fillId="6" fontId="6" numFmtId="168" xfId="0" applyAlignment="1" applyBorder="1" applyFont="1" applyNumberFormat="1">
      <alignment readingOrder="0" shrinkToFit="0" vertical="center" wrapText="1"/>
    </xf>
    <xf borderId="7" fillId="4" fontId="6" numFmtId="169" xfId="0" applyAlignment="1" applyBorder="1" applyFont="1" applyNumberFormat="1">
      <alignment readingOrder="0" shrinkToFit="0" vertical="center" wrapText="1"/>
    </xf>
    <xf borderId="7" fillId="4" fontId="6" numFmtId="170" xfId="0" applyAlignment="1" applyBorder="1" applyFont="1" applyNumberFormat="1">
      <alignment readingOrder="0" shrinkToFit="0" vertical="center" wrapText="1"/>
    </xf>
    <xf borderId="7" fillId="6" fontId="6" numFmtId="170" xfId="0" applyAlignment="1" applyBorder="1" applyFont="1" applyNumberFormat="1">
      <alignment readingOrder="0" shrinkToFit="0" vertical="center" wrapText="1"/>
    </xf>
    <xf borderId="7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7" fillId="0" fontId="5" numFmtId="164" xfId="0" applyAlignment="1" applyBorder="1" applyFont="1" applyNumberFormat="1">
      <alignment readingOrder="0"/>
    </xf>
    <xf borderId="7" fillId="0" fontId="5" numFmtId="0" xfId="0" applyBorder="1" applyFont="1"/>
    <xf borderId="7" fillId="0" fontId="5" numFmtId="166" xfId="0" applyAlignment="1" applyBorder="1" applyFont="1" applyNumberFormat="1">
      <alignment readingOrder="0"/>
    </xf>
    <xf borderId="0" fillId="0" fontId="5" numFmtId="0" xfId="0" applyFont="1"/>
    <xf borderId="0" fillId="0" fontId="10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1" fillId="8" fontId="1" numFmtId="0" xfId="0" applyAlignment="1" applyBorder="1" applyFill="1" applyFont="1">
      <alignment horizontal="left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8" fillId="8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0" fontId="5" numFmtId="14" xfId="0" applyAlignment="1" applyFont="1" applyNumberFormat="1">
      <alignment readingOrder="0"/>
    </xf>
    <xf borderId="7" fillId="2" fontId="11" numFmtId="0" xfId="0" applyAlignment="1" applyBorder="1" applyFont="1">
      <alignment readingOrder="0" shrinkToFit="0" wrapText="1"/>
    </xf>
    <xf borderId="7" fillId="2" fontId="12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readingOrder="0" shrinkToFit="0" wrapText="1"/>
    </xf>
    <xf borderId="7" fillId="0" fontId="5" numFmtId="168" xfId="0" applyAlignment="1" applyBorder="1" applyFont="1" applyNumberFormat="1">
      <alignment readingOrder="0" shrinkToFit="0" wrapText="1"/>
    </xf>
    <xf borderId="7" fillId="0" fontId="5" numFmtId="0" xfId="0" applyAlignment="1" applyBorder="1" applyFont="1">
      <alignment shrinkToFit="0" wrapText="1"/>
    </xf>
    <xf borderId="7" fillId="0" fontId="5" numFmtId="164" xfId="0" applyAlignment="1" applyBorder="1" applyFont="1" applyNumberFormat="1">
      <alignment readingOrder="0" shrinkToFit="0" wrapText="1"/>
    </xf>
    <xf borderId="7" fillId="0" fontId="13" numFmtId="0" xfId="0" applyAlignment="1" applyBorder="1" applyFont="1">
      <alignment readingOrder="0" shrinkToFit="0" wrapText="1"/>
    </xf>
    <xf borderId="1" fillId="9" fontId="14" numFmtId="0" xfId="0" applyAlignment="1" applyBorder="1" applyFill="1" applyFont="1">
      <alignment horizontal="left" shrinkToFit="0" vertical="center" wrapText="0"/>
    </xf>
    <xf borderId="8" fillId="0" fontId="15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shrinkToFit="0" vertical="bottom" wrapText="0"/>
    </xf>
    <xf borderId="8" fillId="6" fontId="15" numFmtId="0" xfId="0" applyAlignment="1" applyBorder="1" applyFont="1">
      <alignment shrinkToFit="0" vertical="bottom" wrapText="0"/>
    </xf>
    <xf borderId="8" fillId="6" fontId="6" numFmtId="0" xfId="0" applyAlignment="1" applyBorder="1" applyFont="1">
      <alignment readingOrder="0" shrinkToFit="0" vertical="bottom" wrapText="0"/>
    </xf>
    <xf borderId="8" fillId="6" fontId="6" numFmtId="0" xfId="0" applyAlignment="1" applyBorder="1" applyFont="1">
      <alignment shrinkToFit="0" vertical="bottom" wrapText="0"/>
    </xf>
    <xf borderId="0" fillId="0" fontId="16" numFmtId="0" xfId="0" applyAlignment="1" applyFont="1">
      <alignment readingOrder="0"/>
    </xf>
    <xf borderId="1" fillId="10" fontId="14" numFmtId="0" xfId="0" applyAlignment="1" applyBorder="1" applyFill="1" applyFont="1">
      <alignment horizontal="left" shrinkToFit="0" vertical="center" wrapText="0"/>
    </xf>
    <xf borderId="8" fillId="0" fontId="17" numFmtId="0" xfId="0" applyAlignment="1" applyBorder="1" applyFont="1">
      <alignment horizontal="center" shrinkToFit="0" vertical="center" wrapText="0"/>
    </xf>
    <xf borderId="8" fillId="0" fontId="18" numFmtId="0" xfId="0" applyAlignment="1" applyBorder="1" applyFont="1">
      <alignment horizontal="center" shrinkToFit="0" vertical="center" wrapText="0"/>
    </xf>
    <xf borderId="7" fillId="0" fontId="19" numFmtId="0" xfId="0" applyAlignment="1" applyBorder="1" applyFont="1">
      <alignment shrinkToFit="0" wrapText="1"/>
    </xf>
    <xf borderId="7" fillId="0" fontId="20" numFmtId="0" xfId="0" applyAlignment="1" applyBorder="1" applyFont="1">
      <alignment shrinkToFit="0" wrapText="1"/>
    </xf>
    <xf borderId="7" fillId="0" fontId="20" numFmtId="0" xfId="0" applyAlignment="1" applyBorder="1" applyFont="1">
      <alignment shrinkToFit="0" vertical="bottom" wrapText="1"/>
    </xf>
    <xf borderId="7" fillId="0" fontId="19" numFmtId="0" xfId="0" applyAlignment="1" applyBorder="1" applyFont="1">
      <alignment shrinkToFit="0" vertical="bottom" wrapText="1"/>
    </xf>
    <xf borderId="7" fillId="0" fontId="2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lom6utvTQ2mk29QGDT5QMfC46Sp_-kSaC1-9bskJ5M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a-HrLdMN2RVX56_d-igN7HHuE5B_zrJ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enrique.gonzalez@rappi.com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B35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42.0"/>
    <col customWidth="1" min="3" max="3" width="22.0"/>
    <col customWidth="1" min="4" max="4" width="38.0"/>
    <col customWidth="1" min="5" max="5" width="16.0"/>
    <col customWidth="1" min="6" max="6" width="12.0"/>
    <col customWidth="1" min="7" max="7" width="14.0"/>
    <col customWidth="1" min="8" max="8" width="20.0"/>
    <col customWidth="1" min="9" max="10" width="16.0"/>
    <col customWidth="1" min="11" max="11" width="30.0"/>
    <col customWidth="1" min="12" max="12" width="39.57"/>
    <col customWidth="1" min="13" max="13" width="8.71"/>
    <col customWidth="1" min="14" max="14" width="25.14"/>
    <col customWidth="1" min="15" max="15" width="12.0"/>
    <col customWidth="1" min="16" max="16" width="8.71"/>
    <col customWidth="1" min="17" max="17" width="30.29"/>
    <col customWidth="1" min="18" max="26" width="8.71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7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31.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8" t="s">
        <v>13</v>
      </c>
      <c r="M3" s="8" t="s">
        <v>14</v>
      </c>
      <c r="N3" s="8" t="s">
        <v>15</v>
      </c>
      <c r="O3" s="9" t="s">
        <v>16</v>
      </c>
      <c r="P3" s="9" t="s">
        <v>17</v>
      </c>
      <c r="Q3" s="9" t="s">
        <v>18</v>
      </c>
    </row>
    <row r="4">
      <c r="A4" s="10">
        <v>1.0</v>
      </c>
      <c r="B4" s="11" t="s">
        <v>19</v>
      </c>
      <c r="C4" s="11" t="s">
        <v>20</v>
      </c>
      <c r="D4" s="11" t="s">
        <v>21</v>
      </c>
      <c r="E4" s="11"/>
      <c r="F4" s="12" t="s">
        <v>22</v>
      </c>
      <c r="G4" s="13" t="s">
        <v>23</v>
      </c>
      <c r="H4" s="11" t="s">
        <v>24</v>
      </c>
      <c r="I4" s="14">
        <v>46104.91915609954</v>
      </c>
      <c r="J4" s="15"/>
      <c r="K4" s="11"/>
      <c r="L4" s="9">
        <v>1.0</v>
      </c>
      <c r="M4" s="9" t="s">
        <v>25</v>
      </c>
      <c r="N4" s="9" t="s">
        <v>26</v>
      </c>
    </row>
    <row r="5">
      <c r="A5" s="10">
        <v>3.0</v>
      </c>
      <c r="B5" s="11" t="s">
        <v>27</v>
      </c>
      <c r="C5" s="11" t="s">
        <v>20</v>
      </c>
      <c r="D5" s="11" t="s">
        <v>28</v>
      </c>
      <c r="E5" s="16">
        <v>46109.0</v>
      </c>
      <c r="F5" s="12" t="s">
        <v>22</v>
      </c>
      <c r="G5" s="13" t="s">
        <v>23</v>
      </c>
      <c r="H5" s="11" t="s">
        <v>24</v>
      </c>
      <c r="I5" s="14">
        <v>46106.419422384264</v>
      </c>
      <c r="J5" s="15"/>
      <c r="K5" s="11" t="s">
        <v>29</v>
      </c>
      <c r="M5" s="9" t="s">
        <v>25</v>
      </c>
      <c r="N5" s="9" t="s">
        <v>26</v>
      </c>
    </row>
    <row r="6">
      <c r="A6" s="17">
        <v>4.0</v>
      </c>
      <c r="B6" s="18" t="s">
        <v>27</v>
      </c>
      <c r="C6" s="18" t="s">
        <v>20</v>
      </c>
      <c r="D6" s="18" t="s">
        <v>28</v>
      </c>
      <c r="E6" s="19">
        <v>46109.0</v>
      </c>
      <c r="F6" s="12" t="s">
        <v>22</v>
      </c>
      <c r="G6" s="13" t="s">
        <v>23</v>
      </c>
      <c r="H6" s="18" t="s">
        <v>24</v>
      </c>
      <c r="I6" s="20">
        <v>46106.41959943287</v>
      </c>
      <c r="J6" s="21"/>
      <c r="K6" s="18" t="s">
        <v>29</v>
      </c>
      <c r="M6" s="9" t="s">
        <v>25</v>
      </c>
      <c r="N6" s="9" t="s">
        <v>26</v>
      </c>
    </row>
    <row r="7">
      <c r="A7" s="10">
        <v>5.0</v>
      </c>
      <c r="B7" s="11" t="s">
        <v>30</v>
      </c>
      <c r="C7" s="11" t="s">
        <v>20</v>
      </c>
      <c r="D7" s="11" t="s">
        <v>31</v>
      </c>
      <c r="E7" s="11" t="s">
        <v>32</v>
      </c>
      <c r="F7" s="12" t="s">
        <v>22</v>
      </c>
      <c r="G7" s="13" t="s">
        <v>23</v>
      </c>
      <c r="H7" s="11" t="s">
        <v>24</v>
      </c>
      <c r="I7" s="14">
        <v>46106.42212358797</v>
      </c>
      <c r="J7" s="15"/>
      <c r="K7" s="11" t="s">
        <v>29</v>
      </c>
      <c r="M7" s="9" t="s">
        <v>25</v>
      </c>
      <c r="N7" s="9" t="s">
        <v>26</v>
      </c>
    </row>
    <row r="8">
      <c r="A8" s="17">
        <v>6.0</v>
      </c>
      <c r="B8" s="18" t="s">
        <v>30</v>
      </c>
      <c r="C8" s="18" t="s">
        <v>20</v>
      </c>
      <c r="D8" s="18" t="s">
        <v>31</v>
      </c>
      <c r="E8" s="18" t="s">
        <v>32</v>
      </c>
      <c r="F8" s="22" t="s">
        <v>22</v>
      </c>
      <c r="G8" s="13" t="s">
        <v>23</v>
      </c>
      <c r="H8" s="18" t="s">
        <v>24</v>
      </c>
      <c r="I8" s="20">
        <v>46106.422236412036</v>
      </c>
      <c r="J8" s="21"/>
      <c r="K8" s="18" t="s">
        <v>29</v>
      </c>
      <c r="M8" s="9" t="s">
        <v>25</v>
      </c>
      <c r="N8" s="9" t="s">
        <v>26</v>
      </c>
    </row>
    <row r="9">
      <c r="A9" s="10">
        <v>7.0</v>
      </c>
      <c r="B9" s="11" t="s">
        <v>33</v>
      </c>
      <c r="C9" s="11" t="s">
        <v>20</v>
      </c>
      <c r="D9" s="23"/>
      <c r="E9" s="11" t="s">
        <v>34</v>
      </c>
      <c r="F9" s="22" t="s">
        <v>22</v>
      </c>
      <c r="G9" s="13" t="s">
        <v>23</v>
      </c>
      <c r="H9" s="11" t="s">
        <v>24</v>
      </c>
      <c r="I9" s="14">
        <v>46106.4225409375</v>
      </c>
      <c r="J9" s="15"/>
      <c r="K9" s="11" t="s">
        <v>29</v>
      </c>
      <c r="M9" s="9" t="s">
        <v>25</v>
      </c>
      <c r="N9" s="9" t="s">
        <v>26</v>
      </c>
    </row>
    <row r="10">
      <c r="A10" s="17">
        <v>8.0</v>
      </c>
      <c r="B10" s="18" t="s">
        <v>33</v>
      </c>
      <c r="C10" s="18" t="s">
        <v>20</v>
      </c>
      <c r="D10" s="24"/>
      <c r="E10" s="18" t="s">
        <v>34</v>
      </c>
      <c r="F10" s="22" t="s">
        <v>22</v>
      </c>
      <c r="G10" s="13" t="s">
        <v>23</v>
      </c>
      <c r="H10" s="18" t="s">
        <v>24</v>
      </c>
      <c r="I10" s="20">
        <v>46106.42257616898</v>
      </c>
      <c r="J10" s="21"/>
      <c r="K10" s="18" t="s">
        <v>29</v>
      </c>
      <c r="M10" s="9" t="s">
        <v>25</v>
      </c>
      <c r="N10" s="9" t="s">
        <v>26</v>
      </c>
    </row>
    <row r="11">
      <c r="A11" s="10">
        <v>9.0</v>
      </c>
      <c r="B11" s="11" t="s">
        <v>35</v>
      </c>
      <c r="C11" s="11" t="s">
        <v>20</v>
      </c>
      <c r="D11" s="11" t="s">
        <v>36</v>
      </c>
      <c r="E11" s="16">
        <v>46109.0</v>
      </c>
      <c r="F11" s="22" t="s">
        <v>22</v>
      </c>
      <c r="G11" s="13" t="s">
        <v>23</v>
      </c>
      <c r="H11" s="11" t="s">
        <v>24</v>
      </c>
      <c r="I11" s="14">
        <v>46106.42492709491</v>
      </c>
      <c r="J11" s="15"/>
      <c r="K11" s="11" t="s">
        <v>29</v>
      </c>
      <c r="M11" s="9" t="s">
        <v>25</v>
      </c>
      <c r="N11" s="9" t="s">
        <v>26</v>
      </c>
    </row>
    <row r="12">
      <c r="A12" s="17">
        <v>10.0</v>
      </c>
      <c r="B12" s="18" t="s">
        <v>37</v>
      </c>
      <c r="C12" s="18" t="s">
        <v>38</v>
      </c>
      <c r="D12" s="18" t="s">
        <v>39</v>
      </c>
      <c r="E12" s="18" t="s">
        <v>40</v>
      </c>
      <c r="F12" s="22" t="s">
        <v>22</v>
      </c>
      <c r="G12" s="13" t="s">
        <v>23</v>
      </c>
      <c r="H12" s="18" t="s">
        <v>24</v>
      </c>
      <c r="I12" s="20">
        <v>46106.50606503472</v>
      </c>
      <c r="J12" s="21"/>
      <c r="K12" s="18" t="s">
        <v>41</v>
      </c>
    </row>
    <row r="13">
      <c r="A13" s="10">
        <v>11.0</v>
      </c>
      <c r="B13" s="11" t="s">
        <v>37</v>
      </c>
      <c r="C13" s="11" t="s">
        <v>38</v>
      </c>
      <c r="D13" s="11" t="s">
        <v>39</v>
      </c>
      <c r="E13" s="11" t="s">
        <v>40</v>
      </c>
      <c r="F13" s="22" t="s">
        <v>22</v>
      </c>
      <c r="G13" s="13" t="s">
        <v>23</v>
      </c>
      <c r="H13" s="11" t="s">
        <v>24</v>
      </c>
      <c r="I13" s="14">
        <v>46106.506252314815</v>
      </c>
      <c r="J13" s="15"/>
      <c r="K13" s="11" t="s">
        <v>41</v>
      </c>
    </row>
    <row r="14">
      <c r="A14" s="17">
        <v>12.0</v>
      </c>
      <c r="B14" s="18" t="s">
        <v>37</v>
      </c>
      <c r="C14" s="18" t="s">
        <v>38</v>
      </c>
      <c r="D14" s="18" t="s">
        <v>39</v>
      </c>
      <c r="E14" s="18" t="s">
        <v>40</v>
      </c>
      <c r="F14" s="22" t="s">
        <v>22</v>
      </c>
      <c r="G14" s="13" t="s">
        <v>23</v>
      </c>
      <c r="H14" s="18" t="s">
        <v>24</v>
      </c>
      <c r="I14" s="20">
        <v>46106.50628395833</v>
      </c>
      <c r="J14" s="21"/>
      <c r="K14" s="18" t="s">
        <v>41</v>
      </c>
    </row>
    <row r="15">
      <c r="A15" s="10">
        <v>13.0</v>
      </c>
      <c r="B15" s="11" t="s">
        <v>42</v>
      </c>
      <c r="C15" s="11" t="s">
        <v>20</v>
      </c>
      <c r="D15" s="11" t="s">
        <v>43</v>
      </c>
      <c r="E15" s="25">
        <v>46109.0</v>
      </c>
      <c r="F15" s="22" t="s">
        <v>22</v>
      </c>
      <c r="G15" s="13" t="s">
        <v>23</v>
      </c>
      <c r="H15" s="11" t="s">
        <v>24</v>
      </c>
      <c r="I15" s="14">
        <v>46106.5132336574</v>
      </c>
      <c r="J15" s="15"/>
      <c r="K15" s="11" t="s">
        <v>29</v>
      </c>
      <c r="M15" s="9" t="s">
        <v>25</v>
      </c>
      <c r="N15" s="9" t="s">
        <v>26</v>
      </c>
    </row>
    <row r="16">
      <c r="A16" s="17">
        <v>14.0</v>
      </c>
      <c r="B16" s="18" t="s">
        <v>44</v>
      </c>
      <c r="C16" s="18" t="s">
        <v>45</v>
      </c>
      <c r="D16" s="24"/>
      <c r="E16" s="24"/>
      <c r="F16" s="22" t="s">
        <v>22</v>
      </c>
      <c r="G16" s="13" t="s">
        <v>23</v>
      </c>
      <c r="H16" s="18" t="s">
        <v>24</v>
      </c>
      <c r="I16" s="20">
        <v>46108.63770583333</v>
      </c>
      <c r="J16" s="21"/>
      <c r="K16" s="24"/>
      <c r="L16" s="9">
        <v>2.0</v>
      </c>
      <c r="M16" s="9" t="s">
        <v>46</v>
      </c>
      <c r="N16" s="9" t="s">
        <v>45</v>
      </c>
    </row>
    <row r="17">
      <c r="A17" s="10">
        <v>15.0</v>
      </c>
      <c r="B17" s="11" t="s">
        <v>47</v>
      </c>
      <c r="C17" s="11" t="s">
        <v>20</v>
      </c>
      <c r="D17" s="23"/>
      <c r="E17" s="26">
        <v>46109.0</v>
      </c>
      <c r="F17" s="22" t="s">
        <v>22</v>
      </c>
      <c r="G17" s="13" t="s">
        <v>23</v>
      </c>
      <c r="H17" s="11" t="s">
        <v>24</v>
      </c>
      <c r="I17" s="14">
        <v>46108.63950118056</v>
      </c>
      <c r="J17" s="15"/>
      <c r="K17" s="23"/>
      <c r="L17" s="9">
        <v>2.0</v>
      </c>
      <c r="M17" s="9" t="s">
        <v>46</v>
      </c>
      <c r="N17" s="9" t="s">
        <v>45</v>
      </c>
    </row>
    <row r="18">
      <c r="A18" s="17">
        <v>16.0</v>
      </c>
      <c r="B18" s="18" t="s">
        <v>48</v>
      </c>
      <c r="C18" s="18" t="s">
        <v>20</v>
      </c>
      <c r="D18" s="24"/>
      <c r="E18" s="27">
        <v>46114.0</v>
      </c>
      <c r="F18" s="22" t="s">
        <v>22</v>
      </c>
      <c r="G18" s="13" t="s">
        <v>23</v>
      </c>
      <c r="H18" s="18" t="s">
        <v>49</v>
      </c>
      <c r="I18" s="20">
        <v>46111.85429371528</v>
      </c>
      <c r="J18" s="21"/>
      <c r="K18" s="24"/>
      <c r="M18" s="9" t="s">
        <v>25</v>
      </c>
      <c r="N18" s="9" t="s">
        <v>26</v>
      </c>
    </row>
    <row r="19" ht="15.75" customHeight="1">
      <c r="A19" s="10">
        <v>17.0</v>
      </c>
      <c r="B19" s="11" t="s">
        <v>50</v>
      </c>
      <c r="C19" s="11" t="s">
        <v>20</v>
      </c>
      <c r="D19" s="11" t="s">
        <v>51</v>
      </c>
      <c r="E19" s="28">
        <v>46117.0</v>
      </c>
      <c r="F19" s="22" t="s">
        <v>52</v>
      </c>
      <c r="G19" s="13" t="s">
        <v>23</v>
      </c>
      <c r="H19" s="11" t="s">
        <v>49</v>
      </c>
      <c r="I19" s="14">
        <v>46112.424103935184</v>
      </c>
      <c r="J19" s="15"/>
      <c r="K19" s="11" t="s">
        <v>53</v>
      </c>
      <c r="M19" s="9" t="s">
        <v>25</v>
      </c>
      <c r="N19" s="9" t="s">
        <v>26</v>
      </c>
    </row>
    <row r="20" ht="15.75" customHeight="1">
      <c r="A20" s="10">
        <v>18.0</v>
      </c>
      <c r="B20" s="11" t="s">
        <v>54</v>
      </c>
      <c r="C20" s="11" t="s">
        <v>55</v>
      </c>
      <c r="D20" s="11" t="s">
        <v>56</v>
      </c>
      <c r="E20" s="29">
        <v>46129.0</v>
      </c>
      <c r="F20" s="22" t="s">
        <v>52</v>
      </c>
      <c r="G20" s="13" t="s">
        <v>23</v>
      </c>
      <c r="H20" s="11" t="s">
        <v>57</v>
      </c>
      <c r="I20" s="14">
        <v>46128.51284372685</v>
      </c>
      <c r="J20" s="15"/>
      <c r="K20" s="11" t="s">
        <v>58</v>
      </c>
      <c r="M20" s="9" t="s">
        <v>25</v>
      </c>
      <c r="N20" s="9" t="s">
        <v>26</v>
      </c>
    </row>
    <row r="21" ht="15.75" customHeight="1">
      <c r="A21" s="17">
        <v>19.0</v>
      </c>
      <c r="B21" s="18" t="s">
        <v>54</v>
      </c>
      <c r="C21" s="18" t="s">
        <v>55</v>
      </c>
      <c r="D21" s="18" t="s">
        <v>56</v>
      </c>
      <c r="E21" s="30">
        <v>46129.0</v>
      </c>
      <c r="F21" s="22" t="s">
        <v>52</v>
      </c>
      <c r="G21" s="13" t="s">
        <v>23</v>
      </c>
      <c r="H21" s="18" t="s">
        <v>57</v>
      </c>
      <c r="I21" s="20">
        <v>46128.51291505787</v>
      </c>
      <c r="J21" s="21"/>
      <c r="K21" s="18" t="s">
        <v>58</v>
      </c>
      <c r="M21" s="9" t="s">
        <v>25</v>
      </c>
      <c r="N21" s="9" t="s">
        <v>26</v>
      </c>
    </row>
    <row r="22" ht="15.75" customHeight="1">
      <c r="A22" s="31">
        <v>20.0</v>
      </c>
      <c r="B22" s="32" t="s">
        <v>59</v>
      </c>
      <c r="C22" s="32" t="s">
        <v>20</v>
      </c>
      <c r="D22" s="32" t="s">
        <v>60</v>
      </c>
      <c r="E22" s="32" t="s">
        <v>61</v>
      </c>
      <c r="F22" s="32" t="s">
        <v>52</v>
      </c>
      <c r="G22" s="32" t="s">
        <v>23</v>
      </c>
      <c r="H22" s="32" t="s">
        <v>57</v>
      </c>
      <c r="I22" s="33">
        <v>46128.51411907407</v>
      </c>
      <c r="J22" s="34"/>
      <c r="K22" s="32" t="s">
        <v>62</v>
      </c>
      <c r="M22" s="9" t="s">
        <v>25</v>
      </c>
      <c r="N22" s="9" t="s">
        <v>26</v>
      </c>
    </row>
    <row r="23" ht="15.75" customHeight="1">
      <c r="A23" s="31">
        <v>21.0</v>
      </c>
      <c r="B23" s="32" t="s">
        <v>63</v>
      </c>
      <c r="C23" s="32" t="s">
        <v>20</v>
      </c>
      <c r="D23" s="32" t="s">
        <v>64</v>
      </c>
      <c r="E23" s="35">
        <v>46157.0</v>
      </c>
      <c r="F23" s="32" t="s">
        <v>22</v>
      </c>
      <c r="G23" s="32" t="s">
        <v>23</v>
      </c>
      <c r="H23" s="32" t="s">
        <v>57</v>
      </c>
      <c r="I23" s="33">
        <v>46128.67909693287</v>
      </c>
      <c r="J23" s="34"/>
      <c r="K23" s="32" t="s">
        <v>65</v>
      </c>
      <c r="M23" s="9" t="s">
        <v>25</v>
      </c>
      <c r="N23" s="9" t="s">
        <v>26</v>
      </c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</row>
    <row r="70" ht="15.75" customHeight="1">
      <c r="C70" s="36"/>
      <c r="F70" s="36"/>
      <c r="G70" s="36"/>
    </row>
    <row r="71" ht="15.75" customHeight="1">
      <c r="C71" s="36"/>
      <c r="F71" s="36"/>
      <c r="G71" s="36"/>
    </row>
    <row r="72" ht="15.75" customHeight="1">
      <c r="C72" s="36"/>
      <c r="F72" s="36"/>
      <c r="G72" s="36"/>
    </row>
    <row r="73" ht="15.75" customHeight="1">
      <c r="C73" s="36"/>
      <c r="F73" s="36"/>
      <c r="G73" s="36"/>
    </row>
    <row r="74" ht="15.75" customHeight="1">
      <c r="C74" s="36"/>
      <c r="F74" s="36"/>
      <c r="G74" s="36"/>
    </row>
    <row r="75" ht="15.75" customHeight="1">
      <c r="C75" s="36"/>
      <c r="F75" s="36"/>
      <c r="G75" s="36"/>
    </row>
    <row r="76" ht="15.75" customHeight="1">
      <c r="C76" s="36"/>
      <c r="F76" s="36"/>
      <c r="G76" s="36"/>
    </row>
    <row r="77" ht="15.75" customHeight="1">
      <c r="C77" s="36"/>
      <c r="F77" s="36"/>
      <c r="G77" s="36"/>
    </row>
    <row r="78" ht="15.75" customHeight="1">
      <c r="C78" s="36"/>
      <c r="F78" s="36"/>
      <c r="G78" s="36"/>
    </row>
    <row r="79" ht="15.75" customHeight="1">
      <c r="C79" s="36"/>
      <c r="F79" s="36"/>
      <c r="G79" s="36"/>
    </row>
    <row r="80" ht="15.75" customHeight="1">
      <c r="C80" s="36"/>
      <c r="F80" s="36"/>
      <c r="G80" s="36"/>
    </row>
    <row r="81" ht="15.75" customHeight="1">
      <c r="C81" s="36"/>
      <c r="F81" s="36"/>
      <c r="G81" s="36"/>
    </row>
    <row r="82" ht="15.75" customHeight="1">
      <c r="C82" s="36"/>
      <c r="F82" s="36"/>
      <c r="G82" s="36"/>
    </row>
    <row r="83" ht="15.75" customHeight="1">
      <c r="C83" s="36"/>
      <c r="F83" s="36"/>
      <c r="G83" s="36"/>
    </row>
    <row r="84" ht="15.75" customHeight="1">
      <c r="C84" s="36"/>
      <c r="F84" s="36"/>
      <c r="G84" s="36"/>
    </row>
    <row r="85" ht="15.75" customHeight="1">
      <c r="C85" s="36"/>
      <c r="F85" s="36"/>
      <c r="G85" s="36"/>
    </row>
    <row r="86" ht="15.75" customHeight="1">
      <c r="C86" s="36"/>
      <c r="F86" s="36"/>
      <c r="G86" s="36"/>
    </row>
    <row r="87" ht="15.75" customHeight="1">
      <c r="C87" s="36"/>
      <c r="F87" s="36"/>
      <c r="G87" s="36"/>
    </row>
    <row r="88" ht="15.75" customHeight="1">
      <c r="C88" s="36"/>
      <c r="F88" s="36"/>
      <c r="G88" s="36"/>
    </row>
    <row r="89" ht="15.75" customHeight="1">
      <c r="C89" s="36"/>
      <c r="F89" s="36"/>
      <c r="G89" s="36"/>
    </row>
    <row r="90" ht="15.75" customHeight="1">
      <c r="C90" s="36"/>
      <c r="F90" s="36"/>
      <c r="G90" s="36"/>
    </row>
    <row r="91" ht="15.75" customHeight="1">
      <c r="C91" s="36"/>
      <c r="F91" s="36"/>
      <c r="G91" s="36"/>
    </row>
    <row r="92" ht="15.75" customHeight="1">
      <c r="C92" s="36"/>
      <c r="F92" s="36"/>
      <c r="G92" s="36"/>
    </row>
    <row r="93" ht="15.75" customHeight="1">
      <c r="C93" s="36"/>
      <c r="F93" s="36"/>
      <c r="G93" s="36"/>
    </row>
    <row r="94" ht="15.75" customHeight="1">
      <c r="C94" s="36"/>
      <c r="F94" s="36"/>
      <c r="G94" s="36"/>
    </row>
    <row r="95" ht="15.75" customHeight="1">
      <c r="C95" s="36"/>
      <c r="F95" s="36"/>
      <c r="G95" s="36"/>
    </row>
    <row r="96" ht="15.75" customHeight="1">
      <c r="C96" s="36"/>
      <c r="F96" s="36"/>
      <c r="G96" s="36"/>
    </row>
    <row r="97" ht="15.75" customHeight="1">
      <c r="C97" s="36"/>
      <c r="F97" s="36"/>
      <c r="G97" s="36"/>
    </row>
    <row r="98" ht="15.75" customHeight="1">
      <c r="C98" s="36"/>
      <c r="F98" s="36"/>
      <c r="G98" s="36"/>
    </row>
    <row r="99" ht="15.75" customHeight="1">
      <c r="C99" s="36"/>
      <c r="F99" s="36"/>
      <c r="G99" s="36"/>
    </row>
    <row r="100" ht="15.75" customHeight="1">
      <c r="C100" s="36"/>
      <c r="F100" s="36"/>
      <c r="G100" s="36"/>
    </row>
    <row r="101" ht="15.75" customHeight="1">
      <c r="C101" s="36"/>
      <c r="F101" s="36"/>
      <c r="G101" s="36"/>
    </row>
    <row r="102" ht="15.75" customHeight="1">
      <c r="C102" s="36"/>
      <c r="F102" s="36"/>
      <c r="G102" s="36"/>
    </row>
    <row r="103" ht="15.75" customHeight="1">
      <c r="C103" s="36"/>
      <c r="F103" s="36"/>
      <c r="G103" s="36"/>
    </row>
    <row r="104" ht="15.75" customHeight="1">
      <c r="C104" s="36"/>
      <c r="F104" s="36"/>
      <c r="G104" s="36"/>
    </row>
    <row r="105" ht="15.75" customHeight="1">
      <c r="C105" s="36"/>
      <c r="F105" s="36"/>
      <c r="G105" s="36"/>
    </row>
    <row r="106" ht="15.75" customHeight="1">
      <c r="C106" s="36"/>
      <c r="F106" s="36"/>
      <c r="G106" s="36"/>
    </row>
    <row r="107" ht="15.75" customHeight="1">
      <c r="C107" s="36"/>
      <c r="F107" s="36"/>
      <c r="G107" s="36"/>
    </row>
    <row r="108" ht="15.75" customHeight="1">
      <c r="C108" s="36"/>
      <c r="F108" s="36"/>
      <c r="G108" s="36"/>
    </row>
    <row r="109" ht="15.75" customHeight="1">
      <c r="C109" s="36"/>
      <c r="F109" s="36"/>
      <c r="G109" s="36"/>
    </row>
    <row r="110" ht="15.75" customHeight="1">
      <c r="C110" s="36"/>
      <c r="F110" s="36"/>
      <c r="G110" s="36"/>
    </row>
    <row r="111" ht="15.75" customHeight="1">
      <c r="C111" s="36"/>
      <c r="F111" s="36"/>
      <c r="G111" s="36"/>
    </row>
    <row r="112" ht="15.75" customHeight="1">
      <c r="C112" s="36"/>
      <c r="F112" s="36"/>
      <c r="G112" s="36"/>
    </row>
    <row r="113" ht="15.75" customHeight="1">
      <c r="C113" s="36"/>
      <c r="F113" s="36"/>
      <c r="G113" s="36"/>
    </row>
    <row r="114" ht="15.75" customHeight="1">
      <c r="C114" s="36"/>
      <c r="F114" s="36"/>
      <c r="G114" s="36"/>
    </row>
    <row r="115" ht="15.75" customHeight="1">
      <c r="C115" s="36"/>
      <c r="F115" s="36"/>
      <c r="G115" s="36"/>
    </row>
    <row r="116" ht="15.75" customHeight="1">
      <c r="C116" s="36"/>
      <c r="F116" s="36"/>
      <c r="G116" s="36"/>
    </row>
    <row r="117" ht="15.75" customHeight="1">
      <c r="C117" s="36"/>
      <c r="F117" s="36"/>
      <c r="G117" s="36"/>
    </row>
    <row r="118" ht="15.75" customHeight="1">
      <c r="C118" s="36"/>
      <c r="F118" s="36"/>
      <c r="G118" s="36"/>
    </row>
    <row r="119" ht="15.75" customHeight="1">
      <c r="C119" s="36"/>
      <c r="F119" s="36"/>
      <c r="G119" s="36"/>
    </row>
    <row r="120" ht="15.75" customHeight="1">
      <c r="C120" s="36"/>
      <c r="F120" s="36"/>
      <c r="G120" s="36"/>
    </row>
    <row r="121" ht="15.75" customHeight="1">
      <c r="C121" s="36"/>
      <c r="F121" s="36"/>
      <c r="G121" s="36"/>
    </row>
    <row r="122" ht="15.75" customHeight="1">
      <c r="C122" s="36"/>
      <c r="F122" s="36"/>
      <c r="G122" s="36"/>
    </row>
    <row r="123" ht="15.75" customHeight="1">
      <c r="C123" s="36"/>
      <c r="F123" s="36"/>
      <c r="G123" s="36"/>
    </row>
    <row r="124" ht="15.75" customHeight="1">
      <c r="C124" s="36"/>
      <c r="F124" s="36"/>
      <c r="G124" s="36"/>
    </row>
    <row r="125" ht="15.75" customHeight="1">
      <c r="C125" s="36"/>
      <c r="F125" s="36"/>
      <c r="G125" s="36"/>
    </row>
    <row r="126" ht="15.75" customHeight="1">
      <c r="C126" s="36"/>
      <c r="F126" s="36"/>
      <c r="G126" s="36"/>
    </row>
    <row r="127" ht="15.75" customHeight="1">
      <c r="C127" s="36"/>
      <c r="F127" s="36"/>
      <c r="G127" s="36"/>
    </row>
    <row r="128" ht="15.75" customHeight="1">
      <c r="C128" s="36"/>
      <c r="F128" s="36"/>
      <c r="G128" s="36"/>
    </row>
    <row r="129" ht="15.75" customHeight="1">
      <c r="C129" s="36"/>
      <c r="F129" s="36"/>
      <c r="G129" s="36"/>
    </row>
    <row r="130" ht="15.75" customHeight="1">
      <c r="C130" s="36"/>
      <c r="F130" s="36"/>
      <c r="G130" s="36"/>
    </row>
    <row r="131" ht="15.75" customHeight="1">
      <c r="C131" s="36"/>
      <c r="F131" s="36"/>
      <c r="G131" s="36"/>
    </row>
    <row r="132" ht="15.75" customHeight="1">
      <c r="C132" s="36"/>
      <c r="F132" s="36"/>
      <c r="G132" s="36"/>
    </row>
    <row r="133" ht="15.75" customHeight="1">
      <c r="C133" s="36"/>
      <c r="F133" s="36"/>
      <c r="G133" s="36"/>
    </row>
    <row r="134" ht="15.75" customHeight="1">
      <c r="C134" s="36"/>
      <c r="F134" s="36"/>
      <c r="G134" s="36"/>
    </row>
    <row r="135" ht="15.75" customHeight="1">
      <c r="C135" s="36"/>
      <c r="F135" s="36"/>
      <c r="G135" s="36"/>
    </row>
    <row r="136" ht="15.75" customHeight="1">
      <c r="C136" s="36"/>
      <c r="F136" s="36"/>
      <c r="G136" s="36"/>
    </row>
    <row r="137" ht="15.75" customHeight="1">
      <c r="C137" s="36"/>
      <c r="F137" s="36"/>
      <c r="G137" s="36"/>
    </row>
    <row r="138" ht="15.75" customHeight="1">
      <c r="C138" s="36"/>
      <c r="F138" s="36"/>
      <c r="G138" s="36"/>
    </row>
    <row r="139" ht="15.75" customHeight="1">
      <c r="C139" s="36"/>
      <c r="F139" s="36"/>
      <c r="G139" s="36"/>
    </row>
    <row r="140" ht="15.75" customHeight="1">
      <c r="C140" s="36"/>
      <c r="F140" s="36"/>
      <c r="G140" s="36"/>
    </row>
    <row r="141" ht="15.75" customHeight="1">
      <c r="C141" s="36"/>
      <c r="F141" s="36"/>
      <c r="G141" s="36"/>
    </row>
    <row r="142" ht="15.75" customHeight="1">
      <c r="C142" s="36"/>
      <c r="F142" s="36"/>
      <c r="G142" s="36"/>
    </row>
    <row r="143" ht="15.75" customHeight="1">
      <c r="C143" s="36"/>
      <c r="F143" s="36"/>
      <c r="G143" s="36"/>
    </row>
    <row r="144" ht="15.75" customHeight="1">
      <c r="C144" s="36"/>
      <c r="F144" s="36"/>
      <c r="G144" s="36"/>
    </row>
    <row r="145" ht="15.75" customHeight="1">
      <c r="C145" s="36"/>
      <c r="F145" s="36"/>
      <c r="G145" s="36"/>
    </row>
    <row r="146" ht="15.75" customHeight="1">
      <c r="C146" s="36"/>
      <c r="F146" s="36"/>
      <c r="G146" s="36"/>
    </row>
    <row r="147" ht="15.75" customHeight="1">
      <c r="C147" s="36"/>
      <c r="F147" s="36"/>
      <c r="G147" s="36"/>
    </row>
    <row r="148" ht="15.75" customHeight="1">
      <c r="C148" s="36"/>
      <c r="F148" s="36"/>
      <c r="G148" s="36"/>
    </row>
    <row r="149" ht="15.75" customHeight="1">
      <c r="C149" s="36"/>
      <c r="F149" s="36"/>
      <c r="G149" s="36"/>
    </row>
    <row r="150" ht="15.75" customHeight="1">
      <c r="C150" s="36"/>
      <c r="F150" s="36"/>
      <c r="G150" s="36"/>
    </row>
    <row r="151" ht="15.75" customHeight="1">
      <c r="C151" s="36"/>
      <c r="F151" s="36"/>
      <c r="G151" s="36"/>
    </row>
    <row r="152" ht="15.75" customHeight="1">
      <c r="C152" s="36"/>
      <c r="F152" s="36"/>
      <c r="G152" s="36"/>
    </row>
    <row r="153" ht="15.75" customHeight="1">
      <c r="C153" s="36"/>
      <c r="F153" s="36"/>
      <c r="G153" s="36"/>
    </row>
    <row r="154" ht="15.75" customHeight="1">
      <c r="C154" s="36"/>
      <c r="F154" s="36"/>
      <c r="G154" s="36"/>
    </row>
    <row r="155" ht="15.75" customHeight="1">
      <c r="C155" s="36"/>
      <c r="F155" s="36"/>
      <c r="G155" s="36"/>
    </row>
    <row r="156" ht="15.75" customHeight="1">
      <c r="C156" s="36"/>
      <c r="F156" s="36"/>
      <c r="G156" s="36"/>
    </row>
    <row r="157" ht="15.75" customHeight="1">
      <c r="C157" s="36"/>
      <c r="F157" s="36"/>
      <c r="G157" s="36"/>
    </row>
    <row r="158" ht="15.75" customHeight="1">
      <c r="C158" s="36"/>
      <c r="F158" s="36"/>
      <c r="G158" s="36"/>
    </row>
    <row r="159" ht="15.75" customHeight="1">
      <c r="C159" s="36"/>
      <c r="F159" s="36"/>
      <c r="G159" s="36"/>
    </row>
    <row r="160" ht="15.75" customHeight="1">
      <c r="C160" s="36"/>
      <c r="F160" s="36"/>
      <c r="G160" s="36"/>
    </row>
    <row r="161" ht="15.75" customHeight="1">
      <c r="C161" s="36"/>
      <c r="F161" s="36"/>
      <c r="G161" s="36"/>
    </row>
    <row r="162" ht="15.75" customHeight="1">
      <c r="C162" s="36"/>
      <c r="F162" s="36"/>
      <c r="G162" s="36"/>
    </row>
    <row r="163" ht="15.75" customHeight="1">
      <c r="C163" s="36"/>
      <c r="F163" s="36"/>
      <c r="G163" s="36"/>
    </row>
    <row r="164" ht="15.75" customHeight="1">
      <c r="C164" s="36"/>
      <c r="F164" s="36"/>
      <c r="G164" s="36"/>
    </row>
    <row r="165" ht="15.75" customHeight="1">
      <c r="C165" s="36"/>
      <c r="F165" s="36"/>
      <c r="G165" s="36"/>
    </row>
    <row r="166" ht="15.75" customHeight="1">
      <c r="C166" s="36"/>
      <c r="F166" s="36"/>
      <c r="G166" s="36"/>
    </row>
    <row r="167" ht="15.75" customHeight="1">
      <c r="C167" s="36"/>
      <c r="F167" s="36"/>
      <c r="G167" s="36"/>
    </row>
    <row r="168" ht="15.75" customHeight="1">
      <c r="C168" s="36"/>
      <c r="F168" s="36"/>
      <c r="G168" s="36"/>
    </row>
    <row r="169" ht="15.75" customHeight="1">
      <c r="C169" s="36"/>
      <c r="F169" s="36"/>
      <c r="G169" s="36"/>
    </row>
    <row r="170" ht="15.75" customHeight="1">
      <c r="C170" s="36"/>
      <c r="F170" s="36"/>
      <c r="G170" s="36"/>
    </row>
    <row r="171" ht="15.75" customHeight="1">
      <c r="C171" s="36"/>
      <c r="F171" s="36"/>
      <c r="G171" s="36"/>
    </row>
    <row r="172" ht="15.75" customHeight="1">
      <c r="C172" s="36"/>
      <c r="F172" s="36"/>
      <c r="G172" s="36"/>
    </row>
    <row r="173" ht="15.75" customHeight="1">
      <c r="C173" s="36"/>
      <c r="F173" s="36"/>
      <c r="G173" s="36"/>
    </row>
    <row r="174" ht="15.75" customHeight="1">
      <c r="C174" s="36"/>
      <c r="F174" s="36"/>
      <c r="G174" s="36"/>
    </row>
    <row r="175" ht="15.75" customHeight="1">
      <c r="C175" s="36"/>
      <c r="F175" s="36"/>
      <c r="G175" s="36"/>
    </row>
    <row r="176" ht="15.75" customHeight="1">
      <c r="C176" s="36"/>
      <c r="F176" s="36"/>
      <c r="G176" s="36"/>
    </row>
    <row r="177" ht="15.75" customHeight="1">
      <c r="C177" s="36"/>
      <c r="F177" s="36"/>
      <c r="G177" s="36"/>
    </row>
    <row r="178" ht="15.75" customHeight="1">
      <c r="C178" s="36"/>
      <c r="F178" s="36"/>
      <c r="G178" s="36"/>
    </row>
    <row r="179" ht="15.75" customHeight="1">
      <c r="C179" s="36"/>
      <c r="F179" s="36"/>
      <c r="G179" s="36"/>
    </row>
    <row r="180" ht="15.75" customHeight="1">
      <c r="C180" s="36"/>
      <c r="F180" s="36"/>
      <c r="G180" s="36"/>
    </row>
    <row r="181" ht="15.75" customHeight="1">
      <c r="C181" s="36"/>
      <c r="F181" s="36"/>
      <c r="G181" s="36"/>
    </row>
    <row r="182" ht="15.75" customHeight="1">
      <c r="C182" s="36"/>
      <c r="F182" s="36"/>
      <c r="G182" s="36"/>
    </row>
    <row r="183" ht="15.75" customHeight="1">
      <c r="C183" s="36"/>
      <c r="F183" s="36"/>
      <c r="G183" s="36"/>
    </row>
    <row r="184" ht="15.75" customHeight="1">
      <c r="C184" s="36"/>
      <c r="F184" s="36"/>
      <c r="G184" s="36"/>
    </row>
    <row r="185" ht="15.75" customHeight="1">
      <c r="C185" s="36"/>
      <c r="F185" s="36"/>
      <c r="G185" s="36"/>
    </row>
    <row r="186" ht="15.75" customHeight="1">
      <c r="C186" s="36"/>
      <c r="F186" s="36"/>
      <c r="G186" s="36"/>
    </row>
    <row r="187" ht="15.75" customHeight="1">
      <c r="C187" s="36"/>
      <c r="F187" s="36"/>
      <c r="G187" s="36"/>
    </row>
    <row r="188" ht="15.75" customHeight="1">
      <c r="C188" s="36"/>
      <c r="F188" s="36"/>
      <c r="G188" s="36"/>
    </row>
    <row r="189" ht="15.75" customHeight="1">
      <c r="C189" s="36"/>
      <c r="F189" s="36"/>
      <c r="G189" s="36"/>
    </row>
    <row r="190" ht="15.75" customHeight="1">
      <c r="C190" s="36"/>
      <c r="F190" s="36"/>
      <c r="G190" s="36"/>
    </row>
    <row r="191" ht="15.75" customHeight="1">
      <c r="C191" s="36"/>
      <c r="F191" s="36"/>
      <c r="G191" s="36"/>
    </row>
    <row r="192" ht="15.75" customHeight="1">
      <c r="C192" s="36"/>
      <c r="F192" s="36"/>
      <c r="G192" s="36"/>
    </row>
    <row r="193" ht="15.75" customHeight="1">
      <c r="C193" s="36"/>
      <c r="F193" s="36"/>
      <c r="G193" s="36"/>
    </row>
    <row r="194" ht="15.75" customHeight="1">
      <c r="C194" s="36"/>
      <c r="F194" s="36"/>
      <c r="G194" s="36"/>
    </row>
    <row r="195" ht="15.75" customHeight="1">
      <c r="C195" s="36"/>
      <c r="F195" s="36"/>
      <c r="G195" s="36"/>
    </row>
    <row r="196" ht="15.75" customHeight="1">
      <c r="C196" s="36"/>
      <c r="F196" s="36"/>
      <c r="G196" s="36"/>
    </row>
    <row r="197" ht="15.75" customHeight="1">
      <c r="C197" s="36"/>
      <c r="F197" s="36"/>
      <c r="G197" s="36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3:$K$23"/>
  <mergeCells count="2">
    <mergeCell ref="A1:K1"/>
    <mergeCell ref="A2:K2"/>
  </mergeCells>
  <dataValidations>
    <dataValidation type="list" allowBlank="1" sqref="C4:C197">
      <formula1>"Isabela Zuluaga,Nicolás Naranjo,Juan Manuel Caicedo,Carlos Fernández,Juan Camilo Gallego,Valeria Rangel,David Gaviria"</formula1>
    </dataValidation>
    <dataValidation type="list" allowBlank="1" sqref="F4:F197">
      <formula1>"Alta,Media,Baja"</formula1>
    </dataValidation>
    <dataValidation type="list" allowBlank="1" sqref="G4:G197">
      <formula1>"Pendiente,En curso,Bloqueado,Listo"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78BFA"/>
    <outlinePr summaryBelow="0" summaryRight="0"/>
  </sheetPr>
  <sheetViews>
    <sheetView workbookViewId="0"/>
  </sheetViews>
  <sheetFormatPr customHeight="1" defaultColWidth="14.43" defaultRowHeight="15.0"/>
  <sheetData>
    <row r="1">
      <c r="A1" s="37" t="s">
        <v>66</v>
      </c>
      <c r="B1" s="37" t="s">
        <v>67</v>
      </c>
      <c r="C1" s="37" t="s">
        <v>68</v>
      </c>
      <c r="D1" s="37" t="s">
        <v>69</v>
      </c>
      <c r="E1" s="37" t="s">
        <v>70</v>
      </c>
      <c r="F1" s="37" t="s">
        <v>71</v>
      </c>
    </row>
    <row r="2">
      <c r="A2" s="38">
        <v>46098.01882113426</v>
      </c>
      <c r="B2" s="9" t="s">
        <v>72</v>
      </c>
      <c r="C2" s="9" t="s">
        <v>73</v>
      </c>
      <c r="D2" s="9" t="s">
        <v>74</v>
      </c>
      <c r="E2" s="9" t="s">
        <v>75</v>
      </c>
      <c r="F2" s="9" t="s">
        <v>76</v>
      </c>
    </row>
    <row r="3">
      <c r="A3" s="38">
        <v>46098.02001653935</v>
      </c>
      <c r="B3" s="9" t="s">
        <v>72</v>
      </c>
      <c r="C3" s="9" t="s">
        <v>73</v>
      </c>
      <c r="D3" s="9" t="s">
        <v>74</v>
      </c>
      <c r="E3" s="9" t="s">
        <v>75</v>
      </c>
      <c r="F3" s="9" t="s">
        <v>76</v>
      </c>
    </row>
    <row r="4">
      <c r="A4" s="38">
        <v>46098.526505138885</v>
      </c>
      <c r="B4" s="9" t="s">
        <v>72</v>
      </c>
      <c r="C4" s="9" t="s">
        <v>73</v>
      </c>
      <c r="D4" s="9" t="s">
        <v>74</v>
      </c>
      <c r="E4" s="9" t="s">
        <v>75</v>
      </c>
      <c r="F4" s="9" t="s">
        <v>76</v>
      </c>
    </row>
    <row r="5">
      <c r="A5" s="38">
        <v>46106.4194281713</v>
      </c>
      <c r="B5" s="9" t="s">
        <v>72</v>
      </c>
      <c r="C5" s="9" t="s">
        <v>27</v>
      </c>
      <c r="D5" s="9" t="s">
        <v>77</v>
      </c>
      <c r="F5" s="9" t="s">
        <v>78</v>
      </c>
    </row>
    <row r="6">
      <c r="A6" s="38">
        <v>46106.41960303241</v>
      </c>
      <c r="B6" s="9" t="s">
        <v>72</v>
      </c>
      <c r="C6" s="9" t="s">
        <v>27</v>
      </c>
      <c r="D6" s="9" t="s">
        <v>77</v>
      </c>
      <c r="F6" s="9" t="s">
        <v>79</v>
      </c>
    </row>
    <row r="7">
      <c r="A7" s="38">
        <v>46106.422136967594</v>
      </c>
      <c r="B7" s="9" t="s">
        <v>80</v>
      </c>
      <c r="C7" s="9" t="s">
        <v>81</v>
      </c>
      <c r="F7" s="9" t="s">
        <v>82</v>
      </c>
    </row>
    <row r="8">
      <c r="A8" s="38">
        <v>46106.422139849536</v>
      </c>
      <c r="B8" s="9" t="s">
        <v>72</v>
      </c>
      <c r="C8" s="9" t="s">
        <v>30</v>
      </c>
      <c r="D8" s="9" t="s">
        <v>77</v>
      </c>
      <c r="F8" s="9" t="s">
        <v>83</v>
      </c>
    </row>
    <row r="9">
      <c r="A9" s="38">
        <v>46106.4222428125</v>
      </c>
      <c r="B9" s="9" t="s">
        <v>80</v>
      </c>
      <c r="C9" s="9" t="s">
        <v>81</v>
      </c>
      <c r="F9" s="9" t="s">
        <v>84</v>
      </c>
    </row>
    <row r="10">
      <c r="A10" s="38">
        <v>46106.42224502315</v>
      </c>
      <c r="B10" s="9" t="s">
        <v>72</v>
      </c>
      <c r="C10" s="9" t="s">
        <v>30</v>
      </c>
      <c r="D10" s="9" t="s">
        <v>77</v>
      </c>
      <c r="F10" s="9" t="s">
        <v>85</v>
      </c>
    </row>
    <row r="11">
      <c r="A11" s="38">
        <v>46106.422544664354</v>
      </c>
      <c r="B11" s="9" t="s">
        <v>80</v>
      </c>
      <c r="C11" s="9" t="s">
        <v>81</v>
      </c>
      <c r="F11" s="9" t="s">
        <v>86</v>
      </c>
    </row>
    <row r="12">
      <c r="A12" s="38">
        <v>46106.42254684027</v>
      </c>
      <c r="B12" s="9" t="s">
        <v>72</v>
      </c>
      <c r="C12" s="9" t="s">
        <v>33</v>
      </c>
      <c r="D12" s="9" t="s">
        <v>77</v>
      </c>
      <c r="F12" s="9" t="s">
        <v>87</v>
      </c>
    </row>
    <row r="13">
      <c r="A13" s="38">
        <v>46106.42258230324</v>
      </c>
      <c r="B13" s="9" t="s">
        <v>80</v>
      </c>
      <c r="C13" s="9" t="s">
        <v>81</v>
      </c>
      <c r="F13" s="9" t="s">
        <v>88</v>
      </c>
    </row>
    <row r="14">
      <c r="A14" s="38">
        <v>46106.422585636574</v>
      </c>
      <c r="B14" s="9" t="s">
        <v>72</v>
      </c>
      <c r="C14" s="9" t="s">
        <v>33</v>
      </c>
      <c r="D14" s="9" t="s">
        <v>77</v>
      </c>
      <c r="F14" s="9" t="s">
        <v>89</v>
      </c>
    </row>
    <row r="15">
      <c r="A15" s="38">
        <v>46106.42345883102</v>
      </c>
      <c r="B15" s="9" t="s">
        <v>90</v>
      </c>
      <c r="C15" s="9" t="s">
        <v>91</v>
      </c>
      <c r="F15" s="9" t="s">
        <v>92</v>
      </c>
    </row>
    <row r="16">
      <c r="A16" s="38">
        <v>46106.423473622686</v>
      </c>
      <c r="B16" s="9" t="s">
        <v>90</v>
      </c>
      <c r="C16" s="9" t="s">
        <v>91</v>
      </c>
      <c r="F16" s="9" t="s">
        <v>92</v>
      </c>
    </row>
    <row r="17">
      <c r="A17" s="38">
        <v>46106.42493951389</v>
      </c>
      <c r="B17" s="9" t="s">
        <v>72</v>
      </c>
      <c r="C17" s="9" t="s">
        <v>35</v>
      </c>
      <c r="D17" s="9" t="s">
        <v>77</v>
      </c>
      <c r="F17" s="9" t="s">
        <v>93</v>
      </c>
    </row>
    <row r="18">
      <c r="A18" s="38">
        <v>46106.506069201394</v>
      </c>
      <c r="B18" s="9" t="s">
        <v>72</v>
      </c>
      <c r="C18" s="9" t="s">
        <v>37</v>
      </c>
      <c r="D18" s="9" t="s">
        <v>94</v>
      </c>
      <c r="F18" s="9" t="s">
        <v>95</v>
      </c>
    </row>
    <row r="19">
      <c r="A19" s="38">
        <v>46106.50625708333</v>
      </c>
      <c r="B19" s="9" t="s">
        <v>72</v>
      </c>
      <c r="C19" s="9" t="s">
        <v>37</v>
      </c>
      <c r="D19" s="9" t="s">
        <v>94</v>
      </c>
      <c r="F19" s="9" t="s">
        <v>96</v>
      </c>
    </row>
    <row r="20">
      <c r="A20" s="38">
        <v>46106.506290219906</v>
      </c>
      <c r="B20" s="9" t="s">
        <v>72</v>
      </c>
      <c r="C20" s="9" t="s">
        <v>37</v>
      </c>
      <c r="D20" s="9" t="s">
        <v>94</v>
      </c>
      <c r="F20" s="9" t="s">
        <v>97</v>
      </c>
    </row>
    <row r="21">
      <c r="A21" s="38">
        <v>46106.5132400463</v>
      </c>
      <c r="B21" s="9" t="s">
        <v>72</v>
      </c>
      <c r="C21" s="9" t="s">
        <v>42</v>
      </c>
      <c r="D21" s="9" t="s">
        <v>77</v>
      </c>
      <c r="F21" s="9" t="s">
        <v>98</v>
      </c>
    </row>
    <row r="22">
      <c r="A22" s="38">
        <v>46112.42410975695</v>
      </c>
      <c r="B22" s="9" t="s">
        <v>72</v>
      </c>
      <c r="C22" s="9" t="s">
        <v>50</v>
      </c>
      <c r="D22" s="9" t="s">
        <v>77</v>
      </c>
      <c r="F22" s="9" t="s">
        <v>99</v>
      </c>
    </row>
    <row r="23">
      <c r="A23" s="38">
        <v>46121.43439560186</v>
      </c>
      <c r="B23" s="9" t="s">
        <v>100</v>
      </c>
      <c r="C23" s="9" t="s">
        <v>101</v>
      </c>
      <c r="D23" s="9" t="s">
        <v>102</v>
      </c>
      <c r="F23" s="9" t="s">
        <v>103</v>
      </c>
    </row>
    <row r="24">
      <c r="A24" s="38">
        <v>46121.43442099537</v>
      </c>
      <c r="B24" s="9" t="s">
        <v>100</v>
      </c>
      <c r="C24" s="9" t="s">
        <v>101</v>
      </c>
      <c r="D24" s="9" t="s">
        <v>102</v>
      </c>
      <c r="F24" s="9" t="s">
        <v>103</v>
      </c>
    </row>
    <row r="25">
      <c r="A25" s="38">
        <v>46125.34738212963</v>
      </c>
      <c r="B25" s="9" t="s">
        <v>100</v>
      </c>
      <c r="C25" s="9" t="s">
        <v>104</v>
      </c>
      <c r="D25" s="9" t="s">
        <v>105</v>
      </c>
      <c r="F25" s="9" t="s">
        <v>103</v>
      </c>
    </row>
    <row r="26">
      <c r="A26" s="38">
        <v>46125.347421886574</v>
      </c>
      <c r="B26" s="9" t="s">
        <v>100</v>
      </c>
      <c r="C26" s="9" t="s">
        <v>104</v>
      </c>
      <c r="D26" s="9" t="s">
        <v>105</v>
      </c>
      <c r="F26" s="9" t="s">
        <v>103</v>
      </c>
    </row>
    <row r="27">
      <c r="A27" s="38">
        <v>46125.348155879634</v>
      </c>
      <c r="B27" s="9" t="s">
        <v>100</v>
      </c>
      <c r="C27" s="9" t="s">
        <v>104</v>
      </c>
      <c r="D27" s="9" t="s">
        <v>105</v>
      </c>
      <c r="F27" s="9" t="s">
        <v>103</v>
      </c>
    </row>
    <row r="28">
      <c r="A28" s="38">
        <v>46125.351664270835</v>
      </c>
      <c r="B28" s="9" t="s">
        <v>100</v>
      </c>
      <c r="C28" s="9" t="s">
        <v>104</v>
      </c>
      <c r="D28" s="9" t="s">
        <v>105</v>
      </c>
      <c r="F28" s="9" t="s">
        <v>103</v>
      </c>
    </row>
    <row r="29">
      <c r="A29" s="38">
        <v>46125.41801172454</v>
      </c>
      <c r="B29" s="9" t="s">
        <v>100</v>
      </c>
      <c r="C29" s="9" t="s">
        <v>101</v>
      </c>
      <c r="D29" s="9" t="s">
        <v>102</v>
      </c>
      <c r="F29" s="9" t="s">
        <v>103</v>
      </c>
    </row>
    <row r="30">
      <c r="A30" s="38">
        <v>46125.418034884264</v>
      </c>
      <c r="B30" s="9" t="s">
        <v>100</v>
      </c>
      <c r="C30" s="9" t="s">
        <v>101</v>
      </c>
      <c r="D30" s="9" t="s">
        <v>102</v>
      </c>
      <c r="F30" s="9" t="s">
        <v>103</v>
      </c>
    </row>
    <row r="31">
      <c r="A31" s="38">
        <v>46127.587699490745</v>
      </c>
      <c r="B31" s="9" t="s">
        <v>100</v>
      </c>
      <c r="C31" s="9" t="s">
        <v>106</v>
      </c>
      <c r="D31" s="9" t="s">
        <v>102</v>
      </c>
      <c r="F31" s="9" t="s">
        <v>103</v>
      </c>
    </row>
    <row r="32">
      <c r="A32" s="38">
        <v>46127.5877271412</v>
      </c>
      <c r="B32" s="9" t="s">
        <v>100</v>
      </c>
      <c r="C32" s="9" t="s">
        <v>106</v>
      </c>
      <c r="D32" s="9" t="s">
        <v>102</v>
      </c>
      <c r="F32" s="9" t="s">
        <v>103</v>
      </c>
    </row>
    <row r="33">
      <c r="A33" s="38">
        <v>46127.58847685185</v>
      </c>
      <c r="B33" s="9" t="s">
        <v>100</v>
      </c>
      <c r="C33" s="9" t="s">
        <v>106</v>
      </c>
      <c r="D33" s="9" t="s">
        <v>102</v>
      </c>
      <c r="F33" s="9" t="s">
        <v>103</v>
      </c>
    </row>
    <row r="34">
      <c r="A34" s="38">
        <v>46127.59198655093</v>
      </c>
      <c r="B34" s="9" t="s">
        <v>100</v>
      </c>
      <c r="C34" s="9" t="s">
        <v>106</v>
      </c>
      <c r="D34" s="9" t="s">
        <v>102</v>
      </c>
      <c r="F34" s="9" t="s">
        <v>103</v>
      </c>
    </row>
    <row r="35">
      <c r="A35" s="38">
        <v>46127.6360387037</v>
      </c>
      <c r="B35" s="9" t="s">
        <v>100</v>
      </c>
      <c r="C35" s="9" t="s">
        <v>107</v>
      </c>
      <c r="D35" s="9" t="s">
        <v>102</v>
      </c>
      <c r="F35" s="9" t="s">
        <v>103</v>
      </c>
    </row>
    <row r="36">
      <c r="A36" s="38">
        <v>46127.63605894676</v>
      </c>
      <c r="B36" s="9" t="s">
        <v>100</v>
      </c>
      <c r="C36" s="9" t="s">
        <v>107</v>
      </c>
      <c r="D36" s="9" t="s">
        <v>102</v>
      </c>
      <c r="F36" s="9" t="s">
        <v>103</v>
      </c>
    </row>
    <row r="37">
      <c r="A37" s="38">
        <v>46127.636814004625</v>
      </c>
      <c r="B37" s="9" t="s">
        <v>100</v>
      </c>
      <c r="C37" s="9" t="s">
        <v>107</v>
      </c>
      <c r="D37" s="9" t="s">
        <v>102</v>
      </c>
      <c r="F37" s="9" t="s">
        <v>103</v>
      </c>
    </row>
    <row r="38">
      <c r="A38" s="38">
        <v>46127.64033152778</v>
      </c>
      <c r="B38" s="9" t="s">
        <v>100</v>
      </c>
      <c r="C38" s="9" t="s">
        <v>107</v>
      </c>
      <c r="D38" s="9" t="s">
        <v>102</v>
      </c>
      <c r="F38" s="9" t="s">
        <v>103</v>
      </c>
    </row>
    <row r="39">
      <c r="A39" s="38">
        <v>46127.80179275463</v>
      </c>
      <c r="B39" s="9" t="s">
        <v>72</v>
      </c>
      <c r="C39" s="9" t="s">
        <v>108</v>
      </c>
      <c r="D39" s="9" t="s">
        <v>77</v>
      </c>
      <c r="F39" s="9" t="s">
        <v>109</v>
      </c>
    </row>
    <row r="40">
      <c r="A40" s="38">
        <v>46128.51213914352</v>
      </c>
      <c r="B40" s="9" t="s">
        <v>110</v>
      </c>
      <c r="C40" s="9" t="s">
        <v>111</v>
      </c>
      <c r="F40" s="9" t="s">
        <v>112</v>
      </c>
    </row>
    <row r="41">
      <c r="A41" s="38">
        <v>46128.51218125</v>
      </c>
      <c r="B41" s="9" t="s">
        <v>110</v>
      </c>
      <c r="C41" s="9" t="s">
        <v>111</v>
      </c>
      <c r="F41" s="9" t="s">
        <v>113</v>
      </c>
    </row>
    <row r="42">
      <c r="A42" s="38">
        <v>46128.51225144676</v>
      </c>
      <c r="B42" s="9" t="s">
        <v>110</v>
      </c>
      <c r="C42" s="9" t="s">
        <v>111</v>
      </c>
      <c r="F42" s="9" t="s">
        <v>114</v>
      </c>
    </row>
    <row r="43">
      <c r="A43" s="38">
        <v>46128.51230766204</v>
      </c>
      <c r="B43" s="9" t="s">
        <v>110</v>
      </c>
      <c r="C43" s="9" t="s">
        <v>111</v>
      </c>
      <c r="F43" s="9" t="s">
        <v>115</v>
      </c>
    </row>
    <row r="44">
      <c r="A44" s="38">
        <v>46128.51285042824</v>
      </c>
      <c r="B44" s="9" t="s">
        <v>72</v>
      </c>
      <c r="C44" s="9" t="s">
        <v>54</v>
      </c>
      <c r="D44" s="9" t="s">
        <v>116</v>
      </c>
      <c r="F44" s="9" t="s">
        <v>117</v>
      </c>
    </row>
    <row r="45">
      <c r="A45" s="38">
        <v>46128.512920810186</v>
      </c>
      <c r="B45" s="9" t="s">
        <v>72</v>
      </c>
      <c r="C45" s="9" t="s">
        <v>54</v>
      </c>
      <c r="D45" s="9" t="s">
        <v>116</v>
      </c>
      <c r="F45" s="9" t="s">
        <v>118</v>
      </c>
    </row>
    <row r="46">
      <c r="A46" s="38">
        <v>46128.51412601852</v>
      </c>
      <c r="B46" s="9" t="s">
        <v>72</v>
      </c>
      <c r="C46" s="9" t="s">
        <v>59</v>
      </c>
      <c r="D46" s="9" t="s">
        <v>119</v>
      </c>
      <c r="F46" s="9" t="s">
        <v>120</v>
      </c>
    </row>
    <row r="47">
      <c r="A47" s="38">
        <v>46128.56845467593</v>
      </c>
      <c r="B47" s="9" t="s">
        <v>100</v>
      </c>
      <c r="C47" s="9" t="s">
        <v>121</v>
      </c>
      <c r="D47" s="9" t="s">
        <v>122</v>
      </c>
      <c r="F47" s="9" t="s">
        <v>103</v>
      </c>
    </row>
    <row r="48">
      <c r="A48" s="38">
        <v>46128.56854741898</v>
      </c>
      <c r="B48" s="9" t="s">
        <v>100</v>
      </c>
      <c r="C48" s="9" t="s">
        <v>121</v>
      </c>
      <c r="D48" s="9" t="s">
        <v>122</v>
      </c>
      <c r="F48" s="9" t="s">
        <v>103</v>
      </c>
    </row>
    <row r="49">
      <c r="A49" s="38">
        <v>46128.56921033565</v>
      </c>
      <c r="B49" s="9" t="s">
        <v>100</v>
      </c>
      <c r="C49" s="9" t="s">
        <v>121</v>
      </c>
      <c r="D49" s="9" t="s">
        <v>122</v>
      </c>
      <c r="F49" s="9" t="s">
        <v>103</v>
      </c>
    </row>
    <row r="50">
      <c r="A50" s="38">
        <v>46128.67910172454</v>
      </c>
      <c r="B50" s="9" t="s">
        <v>72</v>
      </c>
      <c r="C50" s="9" t="s">
        <v>63</v>
      </c>
      <c r="D50" s="9" t="s">
        <v>77</v>
      </c>
      <c r="F50" s="9" t="s">
        <v>123</v>
      </c>
    </row>
    <row r="51">
      <c r="A51" s="38">
        <v>46132.35926038194</v>
      </c>
      <c r="B51" s="9" t="s">
        <v>100</v>
      </c>
      <c r="C51" s="9" t="s">
        <v>124</v>
      </c>
      <c r="D51" s="9" t="s">
        <v>125</v>
      </c>
      <c r="F51" s="9" t="s">
        <v>103</v>
      </c>
    </row>
    <row r="52">
      <c r="A52" s="38">
        <v>46132.359283645834</v>
      </c>
      <c r="B52" s="9" t="s">
        <v>100</v>
      </c>
      <c r="C52" s="9" t="s">
        <v>124</v>
      </c>
      <c r="D52" s="9" t="s">
        <v>125</v>
      </c>
      <c r="F52" s="9" t="s">
        <v>103</v>
      </c>
    </row>
    <row r="53">
      <c r="A53" s="38">
        <v>46132.35935344908</v>
      </c>
      <c r="B53" s="9" t="s">
        <v>100</v>
      </c>
      <c r="C53" s="9" t="s">
        <v>126</v>
      </c>
      <c r="D53" s="9" t="s">
        <v>125</v>
      </c>
      <c r="F53" s="9" t="s">
        <v>103</v>
      </c>
    </row>
    <row r="54">
      <c r="A54" s="38">
        <v>46132.35941684028</v>
      </c>
      <c r="B54" s="9" t="s">
        <v>100</v>
      </c>
      <c r="C54" s="9" t="s">
        <v>126</v>
      </c>
      <c r="D54" s="9" t="s">
        <v>125</v>
      </c>
      <c r="F54" s="9" t="s">
        <v>103</v>
      </c>
    </row>
    <row r="55">
      <c r="A55" s="38">
        <v>46132.359440879634</v>
      </c>
      <c r="B55" s="9" t="s">
        <v>100</v>
      </c>
      <c r="C55" s="9" t="s">
        <v>127</v>
      </c>
      <c r="D55" s="9" t="s">
        <v>125</v>
      </c>
      <c r="F55" s="9" t="s">
        <v>103</v>
      </c>
    </row>
    <row r="56">
      <c r="A56" s="38">
        <v>46132.35952777778</v>
      </c>
      <c r="B56" s="9" t="s">
        <v>100</v>
      </c>
      <c r="C56" s="9" t="s">
        <v>127</v>
      </c>
      <c r="D56" s="9" t="s">
        <v>125</v>
      </c>
      <c r="F56" s="9" t="s">
        <v>103</v>
      </c>
    </row>
    <row r="57">
      <c r="A57" s="38">
        <v>46132.36001974537</v>
      </c>
      <c r="B57" s="9" t="s">
        <v>100</v>
      </c>
      <c r="C57" s="9" t="s">
        <v>124</v>
      </c>
      <c r="D57" s="9" t="s">
        <v>125</v>
      </c>
      <c r="F57" s="9" t="s">
        <v>103</v>
      </c>
    </row>
    <row r="58">
      <c r="A58" s="38">
        <v>46132.360116701384</v>
      </c>
      <c r="B58" s="9" t="s">
        <v>100</v>
      </c>
      <c r="C58" s="9" t="s">
        <v>126</v>
      </c>
      <c r="D58" s="9" t="s">
        <v>125</v>
      </c>
      <c r="F58" s="9" t="s">
        <v>103</v>
      </c>
    </row>
    <row r="59">
      <c r="A59" s="38">
        <v>46132.36025021991</v>
      </c>
      <c r="B59" s="9" t="s">
        <v>100</v>
      </c>
      <c r="C59" s="9" t="s">
        <v>127</v>
      </c>
      <c r="D59" s="9" t="s">
        <v>125</v>
      </c>
      <c r="F59" s="9" t="s">
        <v>103</v>
      </c>
    </row>
    <row r="60">
      <c r="A60" s="38">
        <v>46132.36353325231</v>
      </c>
      <c r="B60" s="9" t="s">
        <v>100</v>
      </c>
      <c r="C60" s="9" t="s">
        <v>124</v>
      </c>
      <c r="D60" s="9" t="s">
        <v>125</v>
      </c>
      <c r="F60" s="9" t="s">
        <v>103</v>
      </c>
    </row>
    <row r="61">
      <c r="A61" s="38">
        <v>46132.363755370374</v>
      </c>
      <c r="B61" s="9" t="s">
        <v>100</v>
      </c>
      <c r="C61" s="9" t="s">
        <v>127</v>
      </c>
      <c r="D61" s="9" t="s">
        <v>125</v>
      </c>
      <c r="F61" s="9" t="s">
        <v>103</v>
      </c>
    </row>
    <row r="62">
      <c r="A62" s="38">
        <v>46132.36604631944</v>
      </c>
      <c r="B62" s="9" t="s">
        <v>100</v>
      </c>
      <c r="C62" s="9" t="s">
        <v>128</v>
      </c>
      <c r="D62" s="9" t="s">
        <v>125</v>
      </c>
      <c r="F62" s="9" t="s">
        <v>129</v>
      </c>
    </row>
    <row r="63">
      <c r="A63" s="38">
        <v>46132.36607554398</v>
      </c>
      <c r="B63" s="9" t="s">
        <v>100</v>
      </c>
      <c r="C63" s="9" t="s">
        <v>128</v>
      </c>
      <c r="D63" s="9" t="s">
        <v>125</v>
      </c>
      <c r="F63" s="9" t="s">
        <v>103</v>
      </c>
    </row>
    <row r="64">
      <c r="A64" s="38">
        <v>46132.36679326389</v>
      </c>
      <c r="B64" s="9" t="s">
        <v>100</v>
      </c>
      <c r="C64" s="9" t="s">
        <v>128</v>
      </c>
      <c r="D64" s="9" t="s">
        <v>125</v>
      </c>
      <c r="F64" s="9" t="s">
        <v>103</v>
      </c>
    </row>
    <row r="65">
      <c r="A65" s="38">
        <v>46132.37030388889</v>
      </c>
      <c r="B65" s="9" t="s">
        <v>100</v>
      </c>
      <c r="C65" s="9" t="s">
        <v>128</v>
      </c>
      <c r="D65" s="9" t="s">
        <v>125</v>
      </c>
      <c r="F65" s="9" t="s">
        <v>103</v>
      </c>
    </row>
    <row r="66">
      <c r="A66" s="38">
        <v>46135.33898778935</v>
      </c>
      <c r="B66" s="9" t="s">
        <v>130</v>
      </c>
      <c r="C66" s="9" t="s">
        <v>131</v>
      </c>
    </row>
    <row r="67">
      <c r="A67" s="38">
        <v>46135.33899082176</v>
      </c>
      <c r="B67" s="9" t="s">
        <v>90</v>
      </c>
      <c r="C67" s="9" t="s">
        <v>131</v>
      </c>
    </row>
    <row r="68">
      <c r="A68" s="38">
        <v>46135.338999976855</v>
      </c>
      <c r="B68" s="9" t="s">
        <v>130</v>
      </c>
      <c r="C68" s="9" t="s">
        <v>131</v>
      </c>
    </row>
    <row r="69">
      <c r="A69" s="38">
        <v>46135.339002395835</v>
      </c>
      <c r="B69" s="9" t="s">
        <v>90</v>
      </c>
      <c r="C69" s="9" t="s">
        <v>131</v>
      </c>
    </row>
    <row r="70">
      <c r="A70" s="38">
        <v>46135.33972863426</v>
      </c>
      <c r="B70" s="9" t="s">
        <v>130</v>
      </c>
      <c r="C70" s="9" t="s">
        <v>131</v>
      </c>
    </row>
    <row r="71">
      <c r="A71" s="38">
        <v>46135.33973100694</v>
      </c>
      <c r="B71" s="9" t="s">
        <v>90</v>
      </c>
      <c r="C71" s="9" t="s">
        <v>131</v>
      </c>
    </row>
    <row r="72">
      <c r="A72" s="38">
        <v>46135.500178472226</v>
      </c>
      <c r="B72" s="9" t="s">
        <v>130</v>
      </c>
      <c r="C72" s="9" t="s">
        <v>131</v>
      </c>
    </row>
    <row r="73">
      <c r="A73" s="38">
        <v>46135.50021766203</v>
      </c>
      <c r="B73" s="9" t="s">
        <v>130</v>
      </c>
      <c r="C73" s="9" t="s">
        <v>131</v>
      </c>
    </row>
    <row r="74">
      <c r="A74" s="38">
        <v>46135.66814376158</v>
      </c>
      <c r="B74" s="9" t="s">
        <v>130</v>
      </c>
      <c r="C74" s="9" t="s">
        <v>131</v>
      </c>
    </row>
    <row r="75">
      <c r="A75" s="38">
        <v>46139.367668437495</v>
      </c>
      <c r="B75" s="9" t="s">
        <v>130</v>
      </c>
      <c r="C75" s="9" t="s">
        <v>131</v>
      </c>
    </row>
    <row r="76">
      <c r="A76" s="38">
        <v>46139.36771472222</v>
      </c>
      <c r="B76" s="9" t="s">
        <v>130</v>
      </c>
      <c r="C76" s="9" t="s">
        <v>131</v>
      </c>
    </row>
    <row r="77">
      <c r="A77" s="38">
        <v>46139.36841625</v>
      </c>
      <c r="B77" s="9" t="s">
        <v>130</v>
      </c>
      <c r="C77" s="9" t="s">
        <v>131</v>
      </c>
    </row>
    <row r="78">
      <c r="A78" s="38">
        <v>46141.60973415509</v>
      </c>
      <c r="B78" s="9" t="s">
        <v>130</v>
      </c>
      <c r="C78" s="9" t="s">
        <v>131</v>
      </c>
    </row>
    <row r="79">
      <c r="A79" s="38">
        <v>46141.60976515047</v>
      </c>
      <c r="B79" s="9" t="s">
        <v>130</v>
      </c>
      <c r="C79" s="9" t="s">
        <v>131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D399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42.0"/>
    <col customWidth="1" min="3" max="3" width="22.0"/>
    <col customWidth="1" min="4" max="4" width="38.0"/>
    <col customWidth="1" min="5" max="5" width="16.0"/>
    <col customWidth="1" min="6" max="6" width="12.0"/>
    <col customWidth="1" min="7" max="7" width="14.0"/>
    <col customWidth="1" min="8" max="8" width="20.0"/>
    <col customWidth="1" min="9" max="10" width="16.0"/>
    <col customWidth="1" min="11" max="11" width="30.0"/>
    <col customWidth="1" min="12" max="14" width="8.71"/>
    <col customWidth="1" min="15" max="15" width="11.86"/>
    <col customWidth="1" min="16" max="16" width="8.71"/>
    <col customWidth="1" min="17" max="17" width="21.43"/>
    <col customWidth="1" min="18" max="26" width="8.71"/>
  </cols>
  <sheetData>
    <row r="1" ht="48.0" customHeight="1">
      <c r="A1" s="39" t="s">
        <v>132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7.75" customHeight="1">
      <c r="A2" s="40" t="s">
        <v>133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31.5" customHeight="1">
      <c r="A3" s="41" t="s">
        <v>2</v>
      </c>
      <c r="B3" s="41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  <c r="I3" s="41" t="s">
        <v>10</v>
      </c>
      <c r="J3" s="41" t="s">
        <v>11</v>
      </c>
      <c r="K3" s="41" t="s">
        <v>12</v>
      </c>
      <c r="L3" s="7" t="s">
        <v>11</v>
      </c>
      <c r="M3" s="7" t="s">
        <v>12</v>
      </c>
      <c r="N3" s="8" t="s">
        <v>13</v>
      </c>
      <c r="O3" s="9" t="s">
        <v>16</v>
      </c>
      <c r="P3" s="9" t="s">
        <v>17</v>
      </c>
      <c r="Q3" s="9" t="s">
        <v>18</v>
      </c>
    </row>
    <row r="4">
      <c r="A4" s="42">
        <v>1.0</v>
      </c>
      <c r="B4" s="9" t="s">
        <v>134</v>
      </c>
      <c r="C4" s="9" t="s">
        <v>20</v>
      </c>
      <c r="D4" s="9" t="s">
        <v>135</v>
      </c>
      <c r="E4" s="43">
        <v>46106.0</v>
      </c>
      <c r="F4" s="9" t="s">
        <v>52</v>
      </c>
      <c r="G4" s="9" t="s">
        <v>136</v>
      </c>
      <c r="H4" s="9" t="s">
        <v>137</v>
      </c>
      <c r="I4" s="38">
        <v>46098.00742497685</v>
      </c>
      <c r="J4" s="38">
        <v>46104.91993172454</v>
      </c>
    </row>
    <row r="5">
      <c r="A5" s="42">
        <v>2.0</v>
      </c>
      <c r="B5" s="9" t="s">
        <v>108</v>
      </c>
      <c r="C5" s="9" t="s">
        <v>20</v>
      </c>
      <c r="D5" s="9" t="s">
        <v>138</v>
      </c>
      <c r="E5" s="9" t="s">
        <v>32</v>
      </c>
      <c r="F5" s="9" t="s">
        <v>22</v>
      </c>
      <c r="G5" s="9" t="s">
        <v>136</v>
      </c>
      <c r="H5" s="9" t="s">
        <v>57</v>
      </c>
      <c r="I5" s="38">
        <v>46127.80178741898</v>
      </c>
      <c r="J5" s="38">
        <v>46132.36602981482</v>
      </c>
      <c r="K5" s="9" t="s">
        <v>139</v>
      </c>
      <c r="M5" s="9" t="s">
        <v>25</v>
      </c>
      <c r="N5" s="9" t="s">
        <v>26</v>
      </c>
    </row>
    <row r="6">
      <c r="A6" s="42">
        <v>2.0</v>
      </c>
      <c r="B6" s="9" t="s">
        <v>140</v>
      </c>
      <c r="C6" s="9" t="s">
        <v>20</v>
      </c>
      <c r="D6" s="9" t="s">
        <v>141</v>
      </c>
      <c r="E6" s="43">
        <v>46108.0</v>
      </c>
      <c r="F6" s="9" t="s">
        <v>22</v>
      </c>
      <c r="G6" s="9" t="s">
        <v>136</v>
      </c>
      <c r="H6" s="9" t="s">
        <v>24</v>
      </c>
      <c r="I6" s="38">
        <v>46105.426640046295</v>
      </c>
      <c r="J6" s="38">
        <v>46135.33091513889</v>
      </c>
      <c r="M6" s="9" t="s">
        <v>25</v>
      </c>
      <c r="N6" s="9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K$6"/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4" t="s">
        <v>142</v>
      </c>
      <c r="B1" s="44" t="s">
        <v>143</v>
      </c>
      <c r="C1" s="45" t="s">
        <v>14</v>
      </c>
      <c r="D1" s="45" t="s">
        <v>144</v>
      </c>
      <c r="E1" s="45" t="s">
        <v>4</v>
      </c>
      <c r="F1" s="45" t="s">
        <v>6</v>
      </c>
      <c r="G1" s="45" t="s">
        <v>145</v>
      </c>
      <c r="H1" s="45" t="s">
        <v>146</v>
      </c>
      <c r="I1" s="45" t="s">
        <v>147</v>
      </c>
      <c r="J1" s="44" t="s">
        <v>12</v>
      </c>
      <c r="K1" s="44" t="s">
        <v>148</v>
      </c>
      <c r="L1" s="44" t="s">
        <v>9</v>
      </c>
      <c r="M1" s="44" t="s">
        <v>149</v>
      </c>
      <c r="N1" s="46" t="s">
        <v>16</v>
      </c>
      <c r="O1" s="46" t="s">
        <v>17</v>
      </c>
      <c r="P1" s="9" t="s">
        <v>150</v>
      </c>
    </row>
    <row r="2">
      <c r="A2" s="47">
        <v>1.0</v>
      </c>
      <c r="B2" s="46" t="s">
        <v>151</v>
      </c>
      <c r="C2" s="46" t="s">
        <v>25</v>
      </c>
      <c r="D2" s="46" t="s">
        <v>26</v>
      </c>
      <c r="E2" s="46" t="s">
        <v>26</v>
      </c>
      <c r="F2" s="48">
        <v>46119.0</v>
      </c>
      <c r="G2" s="46" t="s">
        <v>52</v>
      </c>
      <c r="H2" s="46" t="s">
        <v>152</v>
      </c>
      <c r="I2" s="46" t="s">
        <v>153</v>
      </c>
      <c r="J2" s="49"/>
      <c r="K2" s="50">
        <v>46104.918772488425</v>
      </c>
      <c r="L2" s="46" t="s">
        <v>24</v>
      </c>
      <c r="M2" s="49"/>
      <c r="N2" s="49"/>
      <c r="O2" s="49"/>
    </row>
    <row r="3">
      <c r="A3" s="47">
        <v>2.0</v>
      </c>
      <c r="B3" s="46" t="s">
        <v>154</v>
      </c>
      <c r="C3" s="46" t="s">
        <v>46</v>
      </c>
      <c r="D3" s="46" t="s">
        <v>155</v>
      </c>
      <c r="E3" s="46" t="s">
        <v>45</v>
      </c>
      <c r="F3" s="49"/>
      <c r="G3" s="46" t="s">
        <v>52</v>
      </c>
      <c r="H3" s="46" t="s">
        <v>152</v>
      </c>
      <c r="I3" s="46" t="s">
        <v>156</v>
      </c>
      <c r="J3" s="51" t="s">
        <v>157</v>
      </c>
      <c r="K3" s="50">
        <v>46108.63260340277</v>
      </c>
      <c r="L3" s="46" t="s">
        <v>24</v>
      </c>
      <c r="M3" s="46" t="s">
        <v>158</v>
      </c>
      <c r="N3" s="49"/>
      <c r="O3" s="49"/>
    </row>
  </sheetData>
  <hyperlinks>
    <hyperlink r:id="rId1" ref="J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78BFA"/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2" width="61.0"/>
    <col customWidth="1" min="3" max="26" width="8.71"/>
  </cols>
  <sheetData>
    <row r="1" ht="39.75" customHeight="1">
      <c r="A1" s="52" t="s">
        <v>159</v>
      </c>
      <c r="B1" s="3"/>
    </row>
    <row r="3">
      <c r="A3" s="53" t="s">
        <v>160</v>
      </c>
      <c r="B3" s="54" t="s">
        <v>161</v>
      </c>
    </row>
    <row r="4">
      <c r="A4" s="55" t="s">
        <v>162</v>
      </c>
      <c r="B4" s="56" t="s">
        <v>163</v>
      </c>
    </row>
    <row r="5">
      <c r="A5" s="53" t="s">
        <v>164</v>
      </c>
      <c r="B5" s="54">
        <v>2.0</v>
      </c>
    </row>
    <row r="6">
      <c r="A6" s="55" t="s">
        <v>165</v>
      </c>
      <c r="B6" s="57">
        <v>5.0</v>
      </c>
    </row>
    <row r="7">
      <c r="A7" s="53" t="s">
        <v>166</v>
      </c>
      <c r="B7" s="54">
        <v>7.0</v>
      </c>
    </row>
    <row r="8">
      <c r="A8" s="55" t="s">
        <v>167</v>
      </c>
      <c r="B8" s="57" t="s">
        <v>168</v>
      </c>
    </row>
    <row r="9">
      <c r="A9" s="53" t="s">
        <v>169</v>
      </c>
      <c r="B9" s="54" t="s">
        <v>170</v>
      </c>
    </row>
    <row r="10">
      <c r="A10" s="55" t="s">
        <v>171</v>
      </c>
      <c r="B10" s="57" t="s">
        <v>172</v>
      </c>
    </row>
    <row r="11">
      <c r="A11" s="53" t="s">
        <v>173</v>
      </c>
      <c r="B11" s="54" t="s">
        <v>174</v>
      </c>
    </row>
    <row r="12">
      <c r="A12" s="55" t="s">
        <v>175</v>
      </c>
      <c r="B12" s="57" t="s">
        <v>176</v>
      </c>
    </row>
    <row r="13">
      <c r="A13" s="53" t="s">
        <v>177</v>
      </c>
      <c r="B13" s="54" t="s">
        <v>178</v>
      </c>
    </row>
    <row r="14">
      <c r="A14" s="55" t="s">
        <v>179</v>
      </c>
      <c r="B14" s="57" t="s">
        <v>180</v>
      </c>
    </row>
    <row r="15">
      <c r="A15" s="9" t="s">
        <v>181</v>
      </c>
      <c r="B15" s="9" t="s">
        <v>182</v>
      </c>
    </row>
    <row r="16">
      <c r="A16" s="9" t="s">
        <v>183</v>
      </c>
      <c r="B16" s="58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hyperlinks>
    <hyperlink r:id="rId1" ref="B16"/>
  </hyperlinks>
  <printOptions/>
  <pageMargins bottom="1.0" footer="0.0" header="0.0" left="0.75" right="0.75" top="1.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D3EE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6.0"/>
    <col customWidth="1" min="3" max="26" width="8.71"/>
  </cols>
  <sheetData>
    <row r="1" ht="39.75" customHeight="1">
      <c r="A1" s="59" t="s">
        <v>185</v>
      </c>
      <c r="B1" s="3"/>
    </row>
    <row r="3">
      <c r="A3" s="54" t="s">
        <v>186</v>
      </c>
      <c r="B3" s="60">
        <f>COUNTA('Tracking Activo'!B4:B197)</f>
        <v>20</v>
      </c>
    </row>
    <row r="4">
      <c r="A4" s="54" t="s">
        <v>187</v>
      </c>
      <c r="B4" s="60">
        <f>COUNTIF('Tracking Activo'!F4:F197,"Alta")</f>
        <v>4</v>
      </c>
    </row>
    <row r="5">
      <c r="A5" s="54" t="s">
        <v>188</v>
      </c>
      <c r="B5" s="60">
        <f>COUNTIF('Tracking Activo'!F4:F197,"Media")</f>
        <v>16</v>
      </c>
    </row>
    <row r="6">
      <c r="A6" s="54" t="s">
        <v>189</v>
      </c>
      <c r="B6" s="60">
        <f>COUNTIF('Tracking Activo'!F4:F197,"Baja")</f>
        <v>0</v>
      </c>
    </row>
    <row r="7">
      <c r="A7" s="54" t="s">
        <v>190</v>
      </c>
      <c r="B7" s="60">
        <f>COUNTIF('Tracking Activo'!G4:G197,"Pendiente")</f>
        <v>20</v>
      </c>
    </row>
    <row r="8">
      <c r="A8" s="54" t="s">
        <v>191</v>
      </c>
      <c r="B8" s="60">
        <f>COUNTIF('Tracking Activo'!G4:G197,"En curso")</f>
        <v>0</v>
      </c>
    </row>
    <row r="9">
      <c r="A9" s="54" t="s">
        <v>192</v>
      </c>
      <c r="B9" s="60">
        <f>COUNTIF('Tracking Activo'!G4:G197,"Bloqueado")</f>
        <v>0</v>
      </c>
    </row>
    <row r="10">
      <c r="A10" s="54" t="s">
        <v>193</v>
      </c>
      <c r="B10" s="60">
        <f>COUNTIF('Tracking Activo'!G4:G197,"Listo")</f>
        <v>0</v>
      </c>
    </row>
    <row r="11">
      <c r="A11" s="54" t="s">
        <v>194</v>
      </c>
      <c r="B11" s="60">
        <f>COUNTA(Historial!B4:B200)</f>
        <v>3</v>
      </c>
    </row>
    <row r="12">
      <c r="A12" s="54"/>
      <c r="B12" s="61"/>
    </row>
    <row r="13">
      <c r="A13" s="53" t="s">
        <v>195</v>
      </c>
      <c r="B13" s="61"/>
    </row>
    <row r="14">
      <c r="A14" s="54" t="s">
        <v>196</v>
      </c>
      <c r="B14" s="60">
        <f>COUNTIF('Tracking Activo'!C4:C197,"Isabela Zuluaga")</f>
        <v>0</v>
      </c>
    </row>
    <row r="15">
      <c r="A15" s="54" t="s">
        <v>197</v>
      </c>
      <c r="B15" s="60">
        <f>COUNTIF('Tracking Activo'!C4:C197,"Nicolás Naranjo")</f>
        <v>0</v>
      </c>
    </row>
    <row r="16">
      <c r="A16" s="54" t="s">
        <v>55</v>
      </c>
      <c r="B16" s="60">
        <f>COUNTIF('Tracking Activo'!C4:C197,"Juan Manuel Caicedo")</f>
        <v>2</v>
      </c>
    </row>
    <row r="17">
      <c r="A17" s="9" t="s">
        <v>20</v>
      </c>
    </row>
    <row r="18">
      <c r="A18" s="9" t="s">
        <v>38</v>
      </c>
    </row>
    <row r="19">
      <c r="A19" s="9" t="s">
        <v>198</v>
      </c>
    </row>
    <row r="20">
      <c r="A20" s="9" t="s">
        <v>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32.43"/>
  </cols>
  <sheetData>
    <row r="1">
      <c r="A1" s="8" t="s">
        <v>200</v>
      </c>
      <c r="B1" s="8" t="s">
        <v>14</v>
      </c>
      <c r="C1" s="8" t="s">
        <v>144</v>
      </c>
      <c r="D1" s="8" t="s">
        <v>201</v>
      </c>
      <c r="E1" s="8" t="s">
        <v>162</v>
      </c>
      <c r="F1" s="8" t="s">
        <v>202</v>
      </c>
      <c r="G1" s="8" t="s">
        <v>203</v>
      </c>
      <c r="H1" s="7" t="s">
        <v>12</v>
      </c>
    </row>
    <row r="2">
      <c r="A2" s="62" t="s">
        <v>25</v>
      </c>
      <c r="B2" s="62" t="s">
        <v>204</v>
      </c>
      <c r="C2" s="62" t="s">
        <v>26</v>
      </c>
      <c r="D2" s="62" t="s">
        <v>205</v>
      </c>
      <c r="E2" s="62" t="s">
        <v>206</v>
      </c>
      <c r="F2" s="62" t="s">
        <v>207</v>
      </c>
      <c r="G2" s="62" t="s">
        <v>208</v>
      </c>
      <c r="H2" s="49"/>
      <c r="I2" s="49"/>
    </row>
    <row r="3">
      <c r="A3" s="62" t="s">
        <v>209</v>
      </c>
      <c r="B3" s="62" t="s">
        <v>210</v>
      </c>
      <c r="C3" s="62" t="s">
        <v>26</v>
      </c>
      <c r="D3" s="62" t="s">
        <v>205</v>
      </c>
      <c r="E3" s="62" t="s">
        <v>206</v>
      </c>
      <c r="F3" s="62" t="s">
        <v>207</v>
      </c>
      <c r="G3" s="62" t="s">
        <v>208</v>
      </c>
      <c r="H3" s="49"/>
      <c r="I3" s="49"/>
    </row>
    <row r="4">
      <c r="A4" s="62" t="s">
        <v>211</v>
      </c>
      <c r="B4" s="62" t="s">
        <v>212</v>
      </c>
      <c r="C4" s="62" t="s">
        <v>213</v>
      </c>
      <c r="D4" s="62" t="s">
        <v>214</v>
      </c>
      <c r="E4" s="62" t="s">
        <v>215</v>
      </c>
      <c r="F4" s="62" t="s">
        <v>216</v>
      </c>
      <c r="G4" s="63"/>
      <c r="H4" s="49"/>
      <c r="I4" s="49"/>
    </row>
    <row r="5">
      <c r="A5" s="62" t="s">
        <v>217</v>
      </c>
      <c r="B5" s="62" t="s">
        <v>218</v>
      </c>
      <c r="C5" s="62" t="s">
        <v>219</v>
      </c>
      <c r="D5" s="62" t="s">
        <v>220</v>
      </c>
      <c r="E5" s="63"/>
      <c r="F5" s="63"/>
      <c r="G5" s="63"/>
      <c r="H5" s="49"/>
      <c r="I5" s="49"/>
    </row>
    <row r="6">
      <c r="A6" s="62" t="s">
        <v>221</v>
      </c>
      <c r="B6" s="62" t="s">
        <v>222</v>
      </c>
      <c r="C6" s="62" t="s">
        <v>219</v>
      </c>
      <c r="D6" s="62" t="s">
        <v>220</v>
      </c>
      <c r="E6" s="64"/>
      <c r="F6" s="64"/>
      <c r="G6" s="64"/>
      <c r="H6" s="49"/>
      <c r="I6" s="49"/>
    </row>
    <row r="7">
      <c r="A7" s="62" t="s">
        <v>223</v>
      </c>
      <c r="B7" s="65" t="s">
        <v>224</v>
      </c>
      <c r="C7" s="65" t="s">
        <v>225</v>
      </c>
      <c r="D7" s="65" t="s">
        <v>226</v>
      </c>
      <c r="E7" s="65" t="s">
        <v>227</v>
      </c>
      <c r="F7" s="65" t="s">
        <v>228</v>
      </c>
      <c r="G7" s="64"/>
      <c r="H7" s="49"/>
      <c r="I7" s="49"/>
    </row>
    <row r="8">
      <c r="A8" s="65" t="s">
        <v>229</v>
      </c>
      <c r="B8" s="65" t="s">
        <v>230</v>
      </c>
      <c r="C8" s="65" t="s">
        <v>225</v>
      </c>
      <c r="D8" s="65" t="s">
        <v>226</v>
      </c>
      <c r="E8" s="65" t="s">
        <v>231</v>
      </c>
      <c r="F8" s="65" t="s">
        <v>232</v>
      </c>
      <c r="G8" s="64"/>
      <c r="H8" s="49"/>
      <c r="I8" s="49"/>
    </row>
    <row r="9">
      <c r="A9" s="65" t="s">
        <v>233</v>
      </c>
      <c r="B9" s="65" t="s">
        <v>234</v>
      </c>
      <c r="C9" s="65" t="s">
        <v>235</v>
      </c>
      <c r="D9" s="65" t="s">
        <v>236</v>
      </c>
      <c r="E9" s="65" t="s">
        <v>237</v>
      </c>
      <c r="F9" s="65" t="s">
        <v>238</v>
      </c>
      <c r="G9" s="64"/>
      <c r="H9" s="49"/>
      <c r="I9" s="49"/>
    </row>
    <row r="10">
      <c r="A10" s="65" t="s">
        <v>239</v>
      </c>
      <c r="B10" s="65" t="s">
        <v>240</v>
      </c>
      <c r="C10" s="65" t="s">
        <v>225</v>
      </c>
      <c r="D10" s="65" t="s">
        <v>226</v>
      </c>
      <c r="E10" s="65" t="s">
        <v>241</v>
      </c>
      <c r="F10" s="65" t="s">
        <v>242</v>
      </c>
      <c r="G10" s="64"/>
      <c r="H10" s="49"/>
      <c r="I10" s="49"/>
    </row>
    <row r="11">
      <c r="A11" s="9" t="s">
        <v>46</v>
      </c>
      <c r="B11" s="46" t="s">
        <v>243</v>
      </c>
      <c r="C11" s="46" t="s">
        <v>244</v>
      </c>
      <c r="D11" s="66" t="s">
        <v>245</v>
      </c>
      <c r="E11" s="46" t="s">
        <v>246</v>
      </c>
      <c r="F11" s="46" t="s">
        <v>247</v>
      </c>
      <c r="H11" s="49"/>
      <c r="I11" s="49"/>
    </row>
  </sheetData>
  <hyperlinks>
    <hyperlink r:id="rId1" ref="D11"/>
  </hyperlinks>
  <drawing r:id="rId2"/>
</worksheet>
</file>